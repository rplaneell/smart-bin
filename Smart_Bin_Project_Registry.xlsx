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planell\Downloads\"/>
    </mc:Choice>
  </mc:AlternateContent>
  <xr:revisionPtr revIDLastSave="0" documentId="13_ncr:1_{A665138A-2131-44B5-AFB5-9C3B87F237D6}" xr6:coauthVersionLast="47" xr6:coauthVersionMax="47" xr10:uidLastSave="{00000000-0000-0000-0000-000000000000}"/>
  <bookViews>
    <workbookView xWindow="28680" yWindow="-120" windowWidth="29040" windowHeight="15720" tabRatio="500" xr2:uid="{00000000-000D-0000-FFFF-FFFF00000000}"/>
  </bookViews>
  <sheets>
    <sheet name="Dashboard" sheetId="1" r:id="rId1"/>
    <sheet name="Instructions" sheetId="2" r:id="rId2"/>
    <sheet name="Expenditure Registry" sheetId="3" r:id="rId3"/>
    <sheet name="Budget by Category" sheetId="4" r:id="rId4"/>
    <sheet name="Meeting Log" sheetId="5" r:id="rId5"/>
    <sheet name="Action Items" sheetId="6" r:id="rId6"/>
  </sheets>
  <definedNames>
    <definedName name="_xlnm._FilterDatabase" localSheetId="5" hidden="1">'Action Items'!$A$3:$I$33</definedName>
    <definedName name="_xlnm._FilterDatabase" localSheetId="2" hidden="1">'Expenditure Registry'!$A$3:$K$43</definedName>
    <definedName name="_xlnm._FilterDatabase" localSheetId="4" hidden="1">'Meeting Log'!$A$3:$J$33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4" i="3" l="1"/>
  <c r="E14" i="4"/>
  <c r="G5" i="1" s="1"/>
  <c r="B14" i="4"/>
  <c r="F13" i="4"/>
  <c r="E13" i="4"/>
  <c r="C13" i="4"/>
  <c r="D13" i="4" s="1"/>
  <c r="F12" i="4"/>
  <c r="E12" i="4"/>
  <c r="C12" i="4"/>
  <c r="D12" i="4" s="1"/>
  <c r="F11" i="4"/>
  <c r="E11" i="4"/>
  <c r="C11" i="4"/>
  <c r="D11" i="4" s="1"/>
  <c r="F10" i="4"/>
  <c r="E10" i="4"/>
  <c r="C10" i="4"/>
  <c r="D10" i="4" s="1"/>
  <c r="F9" i="4"/>
  <c r="E9" i="4"/>
  <c r="C9" i="4"/>
  <c r="D9" i="4" s="1"/>
  <c r="F8" i="4"/>
  <c r="E8" i="4"/>
  <c r="C8" i="4"/>
  <c r="D8" i="4" s="1"/>
  <c r="F7" i="4"/>
  <c r="E7" i="4"/>
  <c r="C7" i="4"/>
  <c r="D7" i="4" s="1"/>
  <c r="F6" i="4"/>
  <c r="E6" i="4"/>
  <c r="C6" i="4"/>
  <c r="D6" i="4" s="1"/>
  <c r="F5" i="4"/>
  <c r="E5" i="4"/>
  <c r="C5" i="4"/>
  <c r="D5" i="4" s="1"/>
  <c r="F4" i="4"/>
  <c r="E4" i="4"/>
  <c r="C4" i="4"/>
  <c r="G8" i="1"/>
  <c r="E8" i="1"/>
  <c r="C8" i="1"/>
  <c r="A8" i="1"/>
  <c r="A5" i="1"/>
  <c r="C14" i="4" l="1"/>
  <c r="C5" i="1" s="1"/>
  <c r="D4" i="4"/>
  <c r="D14" i="4" l="1"/>
  <c r="E5" i="1" s="1"/>
</calcChain>
</file>

<file path=xl/sharedStrings.xml><?xml version="1.0" encoding="utf-8"?>
<sst xmlns="http://schemas.openxmlformats.org/spreadsheetml/2006/main" count="162" uniqueCount="144">
  <si>
    <t>Smart Bin — Project Dashboard</t>
  </si>
  <si>
    <t>Live overview — recalculates from the tabs below, nothing to type here</t>
  </si>
  <si>
    <t>TOTAL BUDGET (EUR)</t>
  </si>
  <si>
    <t>TOTAL SPENT (EUR)</t>
  </si>
  <si>
    <t>REMAINING BUDGET (EUR)</t>
  </si>
  <si>
    <t>% BUDGET USED</t>
  </si>
  <si>
    <t>EXPENDITURE ENTRIES</t>
  </si>
  <si>
    <t>MEETINGS LOGGED</t>
  </si>
  <si>
    <t>MEETINGS COMPLETED</t>
  </si>
  <si>
    <t>OPEN ACTION ITEMS</t>
  </si>
  <si>
    <t>Budget vs. Actual by Category</t>
  </si>
  <si>
    <t>Smart Bin — Project Registry</t>
  </si>
  <si>
    <t>How to use this workbook</t>
  </si>
  <si>
    <t>Purpose</t>
  </si>
  <si>
    <t>A single-file operations registry for the Smart Bin project: expenditure, budget vs. actual, meeting log, and action items — a lightweight Notion-style database, kept as plain, versionable spreadsheet tabs.</t>
  </si>
  <si>
    <t>How to fill it in</t>
  </si>
  <si>
    <t>Each log tab (Expenditure Registry, Meeting Log, Action Items) has one example row marked "EXAMPLE — replace or delete" in row 3, followed by blank pre-formatted rows with dropdown validation. Type over the example row first, then continue down the blank rows. IDs follow the prefix shown (E for expenditure, M for meetings, A for action items) — just increment the number.</t>
  </si>
  <si>
    <t>Editable cells</t>
  </si>
  <si>
    <t>Cells shaded yellow are the ones meant to be typed into (e.g. FX Rate, Budgeted amounts). White cells with dropdowns are also meant to be filled in — the dropdown just constrains the options. Cells in black text with formulas (e.g. Amount (EUR), Actual Spent, all Dashboard tiles) are calculated automatically — do not overwrite them.</t>
  </si>
  <si>
    <t>Currency</t>
  </si>
  <si>
    <t>Log each expense in its original currency (Amount + Currency), then set the FX Rate to EUR used on that date (e.g. from ECB reference rates). Amount (EUR) is computed automatically and is what the Budget and Dashboard tabs total. For EUR expenses, just set the rate to 1.</t>
  </si>
  <si>
    <t>Dashboard</t>
  </si>
  <si>
    <t>The Dashboard tab is fully computed from the other four tabs — nothing to type there. It re-totals automatically whenever you add rows to the logs below it.</t>
  </si>
  <si>
    <t>Adding rows</t>
  </si>
  <si>
    <t>If you run out of blank template rows, insert new rows *above* the TOTAL row in that table and copy the formatting/formulas from the row above — Excel/LibreOffice will extend the SUMIFS/COUNTIF ranges automatically since they reference full columns.</t>
  </si>
  <si>
    <t>Tabs</t>
  </si>
  <si>
    <t>1. Dashboard — live KPI overview
2. Expenditure Registry — every purchase, tool subscription, or reimbursement
3. Budget by Category — budget vs. actual, by spend category
4. Meeting Log — founders' meetings, decisions, attendees
5. Action Items — tasks raised in meetings, owners, due dates, status</t>
  </si>
  <si>
    <t>Color legend</t>
  </si>
  <si>
    <t>Type in this cell — direct input (amounts, budgets, dates, free text)</t>
  </si>
  <si>
    <t>Type in this cell or pick from dropdown list</t>
  </si>
  <si>
    <t>Calculated automatically — formula, do not overwrite</t>
  </si>
  <si>
    <t>Maintainers</t>
  </si>
  <si>
    <t>Smart Bin founders — Bioinformatics / Mathematics / Physics backgrounds. See CLAUDE.md and docs/ in the repository for the product roadmap and engineering decisions this registry supports.</t>
  </si>
  <si>
    <t>Expenditure Registry</t>
  </si>
  <si>
    <t>Every purchase, subscription, or reimbursement — logged as it happens</t>
  </si>
  <si>
    <t>ID</t>
  </si>
  <si>
    <t>Date</t>
  </si>
  <si>
    <t>Category</t>
  </si>
  <si>
    <t>Description</t>
  </si>
  <si>
    <t>Vendor / Supplier</t>
  </si>
  <si>
    <t>Amount
(EUR)</t>
  </si>
  <si>
    <t>Payment Method</t>
  </si>
  <si>
    <t>Paid By</t>
  </si>
  <si>
    <t>Status</t>
  </si>
  <si>
    <t>Invoice / Receipt Ref</t>
  </si>
  <si>
    <t>Notes</t>
  </si>
  <si>
    <t>E001</t>
  </si>
  <si>
    <t>Hardware Components</t>
  </si>
  <si>
    <t>Seeed Studio XIAO ESP32S3 Sense (5x dev units) — EXAMPLE, replace or delete</t>
  </si>
  <si>
    <t>Seeed Studio</t>
  </si>
  <si>
    <t>Paid</t>
  </si>
  <si>
    <t>INV-2026-0043</t>
  </si>
  <si>
    <t>Initial batch for perception module prototyping</t>
  </si>
  <si>
    <t>Budget by Category</t>
  </si>
  <si>
    <t>Budget vs. actual, pulled live from the Expenditure Registry</t>
  </si>
  <si>
    <t>Budgeted (EUR)</t>
  </si>
  <si>
    <t>Actual Spent (EUR)</t>
  </si>
  <si>
    <t>Variance (EUR)</t>
  </si>
  <si>
    <t>% of Budget Used</t>
  </si>
  <si>
    <t>Prototyping &amp; 3D Printing</t>
  </si>
  <si>
    <t>AI/Compute &amp; Cloud</t>
  </si>
  <si>
    <t>Software &amp; Tools</t>
  </si>
  <si>
    <t>Datasets &amp; Labeling</t>
  </si>
  <si>
    <t>Legal &amp; Admin</t>
  </si>
  <si>
    <t>Marketing &amp; Outreach</t>
  </si>
  <si>
    <t>Travel</t>
  </si>
  <si>
    <t>Office &amp; Misc</t>
  </si>
  <si>
    <t>Other</t>
  </si>
  <si>
    <t>TOTAL</t>
  </si>
  <si>
    <t>Type your budgeted amount (EUR) into the yellow cells. Actual Spent, Variance, % Used, and Status are all calculated from the Expenditure Registry — do not edit them.</t>
  </si>
  <si>
    <t>Meeting Log</t>
  </si>
  <si>
    <t>Founders' meetings — agenda, decisions, and links to action items</t>
  </si>
  <si>
    <t>Time</t>
  </si>
  <si>
    <t>Type</t>
  </si>
  <si>
    <t>Attendees</t>
  </si>
  <si>
    <t>Agenda / Topic</t>
  </si>
  <si>
    <t>Key Decisions</t>
  </si>
  <si>
    <t>Linked Action Items</t>
  </si>
  <si>
    <t>M001</t>
  </si>
  <si>
    <t>2026-01-10</t>
  </si>
  <si>
    <t>10:00</t>
  </si>
  <si>
    <t>Weekly Sync</t>
  </si>
  <si>
    <t>Founder A, Founder B</t>
  </si>
  <si>
    <t>Kickoff — align on Q1 milestones (perception model MVP) — EXAMPLE, replace or delete</t>
  </si>
  <si>
    <t>Prioritize dataset collection before model training; target 500 labeled images by Feb</t>
  </si>
  <si>
    <t>A001, A002</t>
  </si>
  <si>
    <t>Completed</t>
  </si>
  <si>
    <t>Reviewed docs/02_Roadmap.md milestones</t>
  </si>
  <si>
    <t>Action Items</t>
  </si>
  <si>
    <t>Tasks raised in meetings — owners, due dates, status</t>
  </si>
  <si>
    <t>Source Meeting ID</t>
  </si>
  <si>
    <t>Date Raised</t>
  </si>
  <si>
    <t>Owner</t>
  </si>
  <si>
    <t>Priority</t>
  </si>
  <si>
    <t>Due Date</t>
  </si>
  <si>
    <t>A001</t>
  </si>
  <si>
    <t>Set up datasets/ folder structure and labeling schema — EXAMPLE, replace or delete</t>
  </si>
  <si>
    <t>Founder B</t>
  </si>
  <si>
    <t>High</t>
  </si>
  <si>
    <t>2026-01-20</t>
  </si>
  <si>
    <t>In Progress</t>
  </si>
  <si>
    <t>See datasets/CLAUDE.md for ontology</t>
  </si>
  <si>
    <t>Roger</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</si>
  <si>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</si>
  <si>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</si>
  <si>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</si>
  <si>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</si>
  <si>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</si>
  <si>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</si>
  <si>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</si>
  <si>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</si>
  <si>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</si>
  <si>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</si>
  <si>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</si>
  <si>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</si>
  <si>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</si>
  <si>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</si>
  <si>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</si>
  <si>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</si>
  <si>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</si>
  <si>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</si>
  <si>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</si>
  <si>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</si>
  <si>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</si>
  <si>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</si>
  <si>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</si>
  <si>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</si>
  <si>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</si>
  <si>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</si>
  <si>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</si>
  <si>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</si>
  <si>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</si>
  <si>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</si>
  <si>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</si>
  <si>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</si>
  <si>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</si>
  <si>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</si>
  <si>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</si>
  <si>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</si>
  <si>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</si>
  <si>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</si>
  <si>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</si>
  <si>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Claude Pro subcription</t>
  </si>
  <si>
    <t>claude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</si>
</sst>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 €&quot;;\(#,##0.00&quot; €)&quot;"/>
    <numFmt numFmtId="165" formatCode="0.0%"/>
    <numFmt numFmtId="166" formatCode="yyyy\-mm\-dd"/>
  </numFmts>
  <fonts count="10" x14ac:knownFonts="1">
    <font>
      <sz val="11"/>
      <color theme="1"/>
      <name val="Calibri"/>
      <family val="2"/>
      <charset val="1"/>
    </font>
    <font>
      <b/>
      <sz val="16"/>
      <color rgb="FFFFFFFF"/>
      <name val="Arial"/>
      <charset val="1"/>
    </font>
    <font>
      <i/>
      <sz val="10"/>
      <color rgb="FFFFFFFF"/>
      <name val="Arial"/>
      <charset val="1"/>
    </font>
    <font>
      <b/>
      <sz val="10"/>
      <color rgb="FFFFFFFF"/>
      <name val="Arial"/>
      <charset val="1"/>
    </font>
    <font>
      <b/>
      <sz val="18"/>
      <color rgb="FF1F3864"/>
      <name val="Arial"/>
      <charset val="1"/>
    </font>
    <font>
      <b/>
      <sz val="10"/>
      <name val="Arial"/>
      <charset val="1"/>
    </font>
    <font>
      <sz val="10"/>
      <name val="Arial"/>
      <charset val="1"/>
    </font>
    <font>
      <i/>
      <sz val="10"/>
      <color rgb="FF808080"/>
      <name val="Arial"/>
      <charset val="1"/>
    </font>
    <font>
      <i/>
      <sz val="9"/>
      <color rgb="FF595959"/>
      <name val="Arial"/>
      <charset val="1"/>
    </font>
    <font>
      <sz val="8"/>
      <name val="Calibri"/>
      <family val="2"/>
      <charset val="1"/>
    </font>
  </fonts>
  <fills count="8">
    <fill>
      <patternFill patternType="none"/>
    </fill>
    <fill>
      <patternFill patternType="gray125"/>
    </fill>
    <fill>
      <patternFill patternType="solid">
        <fgColor rgb="FF1F3864"/>
        <bgColor rgb="FF333399"/>
      </patternFill>
    </fill>
    <fill>
      <patternFill patternType="solid">
        <fgColor rgb="FF2E75B6"/>
        <bgColor rgb="FF4672A8"/>
      </patternFill>
    </fill>
    <fill>
      <patternFill patternType="solid">
        <fgColor rgb="FFD9E2F3"/>
        <bgColor rgb="FFD9D9D9"/>
      </patternFill>
    </fill>
    <fill>
      <patternFill patternType="solid">
        <fgColor rgb="FFFFFF99"/>
        <bgColor rgb="FFFFE699"/>
      </patternFill>
    </fill>
    <fill>
      <patternFill patternType="solid">
        <fgColor rgb="FFFFFFFF"/>
        <bgColor rgb="FFF9F9F9"/>
      </patternFill>
    </fill>
    <fill>
      <patternFill patternType="solid">
        <fgColor rgb="FFF2F2F2"/>
        <bgColor rgb="FFF9F9F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xfId="0"/>
    <xf numFmtId="0" fontId="8" fillId="0" borderId="0" xfId="0" applyFont="1"/>
    <xf numFmtId="0" fontId="0" fillId="4" borderId="1" xfId="0" applyFill="1" applyBorder="1" applyAlignment="1">
      <alignment horizontal="right"/>
    </xf>
    <xf numFmtId="0" fontId="5" fillId="0" borderId="0" xfId="0" applyFont="1"/>
    <xf numFmtId="1" fontId="4" fillId="4" borderId="1" xfId="0" applyNumberFormat="1" applyFont="1" applyFill="1" applyBorder="1" applyAlignment="1">
      <alignment horizontal="center" vertical="center"/>
    </xf>
    <xf numFmtId="165"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2" fillId="2" borderId="0" xfId="0" applyFont="1" applyFill="1" applyAlignment="1">
      <alignment horizontal="left" vertical="center" indent="1"/>
    </xf>
    <xf numFmtId="0" fontId="1" fillId="2" borderId="0" xfId="0" applyFont="1" applyFill="1" applyAlignment="1">
      <alignment horizontal="left" vertical="center" indent="1"/>
    </xf>
    <xf numFmtId="0" fontId="5" fillId="0" borderId="0" xfId="0" applyFont="1"/>
    <xf numFmtId="0" fontId="5" fillId="0" borderId="0" xfId="0" applyFont="1" applyAlignment="1">
      <alignment vertical="top" wrapText="1"/>
    </xf>
    <xf numFmtId="0" fontId="6" fillId="0" borderId="0" xfId="0" applyFont="1" applyAlignment="1">
      <alignment vertical="top" wrapText="1"/>
    </xf>
    <xf numFmtId="0" fontId="0" fillId="5" borderId="1" xfId="0" applyFill="1" applyBorder="1"/>
    <xf numFmtId="0" fontId="6" fillId="0" borderId="0" xfId="0" applyFont="1"/>
    <xf numFmtId="0" fontId="0" fillId="6" borderId="1" xfId="0" applyFill="1" applyBorder="1"/>
    <xf numFmtId="0" fontId="0" fillId="7" borderId="1" xfId="0" applyFill="1" applyBorder="1"/>
    <xf numFmtId="0" fontId="3" fillId="2" borderId="1" xfId="0" applyFont="1" applyFill="1" applyBorder="1" applyAlignment="1">
      <alignment horizontal="center" vertical="center" wrapText="1"/>
    </xf>
    <xf numFmtId="0" fontId="7" fillId="0" borderId="1" xfId="0" applyFont="1" applyBorder="1" applyAlignment="1">
      <alignment vertical="center"/>
    </xf>
    <xf numFmtId="166" fontId="7" fillId="0" borderId="1" xfId="0" applyNumberFormat="1" applyFont="1" applyBorder="1" applyAlignment="1">
      <alignment vertical="center"/>
    </xf>
    <xf numFmtId="0" fontId="7" fillId="0" borderId="1" xfId="0" applyFont="1" applyBorder="1" applyAlignment="1">
      <alignment vertical="center" wrapText="1"/>
    </xf>
    <xf numFmtId="0" fontId="6" fillId="7" borderId="1" xfId="0" applyFont="1" applyFill="1" applyBorder="1" applyAlignment="1">
      <alignment vertical="center"/>
    </xf>
    <xf numFmtId="166" fontId="6" fillId="7" borderId="1" xfId="0" applyNumberFormat="1" applyFont="1" applyFill="1" applyBorder="1" applyAlignment="1">
      <alignment vertical="center"/>
    </xf>
    <xf numFmtId="0" fontId="6" fillId="7" borderId="1" xfId="0" applyFont="1" applyFill="1" applyBorder="1" applyAlignment="1">
      <alignment vertical="center" wrapText="1"/>
    </xf>
    <xf numFmtId="164" fontId="6" fillId="7" borderId="1" xfId="0" applyNumberFormat="1" applyFont="1" applyFill="1" applyBorder="1" applyAlignment="1">
      <alignment vertical="center"/>
    </xf>
    <xf numFmtId="0" fontId="6" fillId="0" borderId="1" xfId="0" applyFont="1" applyBorder="1" applyAlignment="1">
      <alignment vertical="center"/>
    </xf>
    <xf numFmtId="166" fontId="6" fillId="0" borderId="1" xfId="0" applyNumberFormat="1" applyFont="1" applyBorder="1" applyAlignment="1">
      <alignment vertical="center"/>
    </xf>
    <xf numFmtId="0" fontId="6" fillId="0" borderId="1" xfId="0" applyFont="1" applyBorder="1" applyAlignment="1">
      <alignment vertical="center" wrapText="1"/>
    </xf>
    <xf numFmtId="164" fontId="6" fillId="0" borderId="1" xfId="0" applyNumberFormat="1" applyFont="1" applyBorder="1" applyAlignment="1">
      <alignment vertical="center"/>
    </xf>
    <xf numFmtId="0" fontId="0" fillId="4" borderId="1" xfId="0" applyFill="1" applyBorder="1"/>
    <xf numFmtId="164" fontId="5" fillId="4" borderId="1" xfId="0" applyNumberFormat="1" applyFont="1" applyFill="1" applyBorder="1"/>
    <xf numFmtId="164" fontId="6" fillId="5" borderId="1" xfId="0" applyNumberFormat="1" applyFont="1" applyFill="1" applyBorder="1" applyAlignment="1">
      <alignment vertical="center"/>
    </xf>
    <xf numFmtId="165" fontId="6" fillId="0" borderId="1" xfId="0" applyNumberFormat="1" applyFont="1" applyBorder="1" applyAlignment="1">
      <alignment vertical="center"/>
    </xf>
    <xf numFmtId="165" fontId="6" fillId="7" borderId="1" xfId="0" applyNumberFormat="1" applyFont="1" applyFill="1" applyBorder="1" applyAlignment="1">
      <alignment vertical="center"/>
    </xf>
    <xf numFmtId="0" fontId="5" fillId="4" borderId="1" xfId="0" applyFont="1" applyFill="1" applyBorder="1"/>
    <xf numFmtId="165" fontId="5" fillId="4" borderId="1" xfId="0" applyNumberFormat="1" applyFont="1" applyFill="1" applyBorder="1"/>
  </cellXfs>
  <cellStyles count="1">
    <cellStyle name="Normal" xfId="0" builtinId="0"/>
  </cellStyles>
  <dxfs count="21">
    <dxf>
      <fill>
        <patternFill>
          <bgColor rgb="FFF8CBAD"/>
        </patternFill>
      </fill>
    </dxf>
    <dxf>
      <fill>
        <patternFill>
          <bgColor rgb="FFD9E2F3"/>
        </patternFill>
      </fill>
    </dxf>
    <dxf>
      <fill>
        <patternFill>
          <bgColor rgb="FFFFE699"/>
        </patternFill>
      </fill>
    </dxf>
    <dxf>
      <fill>
        <patternFill>
          <bgColor rgb="FFC6E0B4"/>
        </patternFill>
      </fill>
    </dxf>
    <dxf>
      <fill>
        <patternFill>
          <bgColor rgb="FFD9D9D9"/>
        </patternFill>
      </fill>
    </dxf>
    <dxf>
      <fill>
        <patternFill>
          <bgColor rgb="FFF8CBAD"/>
        </patternFill>
      </fill>
    </dxf>
    <dxf>
      <fill>
        <patternFill>
          <bgColor rgb="FFFFE699"/>
        </patternFill>
      </fill>
    </dxf>
    <dxf>
      <fill>
        <patternFill>
          <bgColor rgb="FFC6E0B4"/>
        </patternFill>
      </fill>
    </dxf>
    <dxf>
      <font>
        <b/>
        <sz val="10"/>
        <color rgb="FFC00000"/>
        <name val="Arial"/>
        <charset val="1"/>
      </font>
    </dxf>
    <dxf>
      <fill>
        <patternFill>
          <bgColor rgb="FFF8CBAD"/>
        </patternFill>
      </fill>
    </dxf>
    <dxf>
      <fill>
        <patternFill>
          <bgColor rgb="FFD9D9D9"/>
        </patternFill>
      </fill>
    </dxf>
    <dxf>
      <fill>
        <patternFill>
          <bgColor rgb="FFFFE699"/>
        </patternFill>
      </fill>
    </dxf>
    <dxf>
      <fill>
        <patternFill>
          <bgColor rgb="FFC6E0B4"/>
        </patternFill>
      </fill>
    </dxf>
    <dxf>
      <fill>
        <patternFill>
          <bgColor rgb="FFD9D9D9"/>
        </patternFill>
      </fill>
    </dxf>
    <dxf>
      <fill>
        <patternFill>
          <bgColor rgb="FFF8CBAD"/>
        </patternFill>
      </fill>
    </dxf>
    <dxf>
      <fill>
        <patternFill>
          <bgColor rgb="FFFFE699"/>
        </patternFill>
      </fill>
    </dxf>
    <dxf>
      <fill>
        <patternFill>
          <bgColor rgb="FFC6E0B4"/>
        </patternFill>
      </fill>
    </dxf>
    <dxf>
      <fill>
        <patternFill>
          <bgColor rgb="FFF8CBAD"/>
        </patternFill>
      </fill>
    </dxf>
    <dxf>
      <fill>
        <patternFill>
          <bgColor rgb="FFD9E2F3"/>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00FFFF"/>
      <rgbColor rgb="FF800000"/>
      <rgbColor rgb="FF008000"/>
      <rgbColor rgb="FF000080"/>
      <rgbColor rgb="FF8AA64F"/>
      <rgbColor rgb="FF800080"/>
      <rgbColor rgb="FF4F81BD"/>
      <rgbColor rgb="FFB7B7B7"/>
      <rgbColor rgb="FF808080"/>
      <rgbColor rgb="FF93A9CE"/>
      <rgbColor rgb="FFAB4744"/>
      <rgbColor rgb="FFF9F9F9"/>
      <rgbColor rgb="FFF2F2F2"/>
      <rgbColor rgb="FF660066"/>
      <rgbColor rgb="FFDC853E"/>
      <rgbColor rgb="FF4672A8"/>
      <rgbColor rgb="FFD9D9D9"/>
      <rgbColor rgb="FF000080"/>
      <rgbColor rgb="FFFF00FF"/>
      <rgbColor rgb="FFFFFF00"/>
      <rgbColor rgb="FF00FFFF"/>
      <rgbColor rgb="FF800080"/>
      <rgbColor rgb="FF800000"/>
      <rgbColor rgb="FF008080"/>
      <rgbColor rgb="FF0000FF"/>
      <rgbColor rgb="FF00CCFF"/>
      <rgbColor rgb="FFD9E2F3"/>
      <rgbColor rgb="FFC6E0B4"/>
      <rgbColor rgb="FFFFFF99"/>
      <rgbColor rgb="FFB8CD97"/>
      <rgbColor rgb="FFD09493"/>
      <rgbColor rgb="FFA99BBD"/>
      <rgbColor rgb="FFF8CBAD"/>
      <rgbColor rgb="FF2E75B6"/>
      <rgbColor rgb="FF33CCCC"/>
      <rgbColor rgb="FF99CC00"/>
      <rgbColor rgb="FFFFCC00"/>
      <rgbColor rgb="FFFF9900"/>
      <rgbColor rgb="FFFF6600"/>
      <rgbColor rgb="FF725990"/>
      <rgbColor rgb="FF878787"/>
      <rgbColor rgb="FF1F3864"/>
      <rgbColor rgb="FF4299B0"/>
      <rgbColor rgb="FF003300"/>
      <rgbColor rgb="FF333300"/>
      <rgbColor rgb="FF993300"/>
      <rgbColor rgb="FFC0504D"/>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'Budget by Category'!$B$3</c:f>
              <c:strCache>
                <c:ptCount val="1"/>
                <c:pt idx="0">
                  <c:v>Budgeted (EUR)</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'Budget by Category'!$A$4:$A$13</c:f>
              <c:strCache>
                <c:ptCount val="10"/>
                <c:pt idx="0">
                  <c:v>Hardware Components</c:v>
                </c:pt>
                <c:pt idx="1">
                  <c:v>Prototyping &amp; 3D Printing</c:v>
                </c:pt>
                <c:pt idx="2">
                  <c:v>AI/Compute &amp; Cloud</c:v>
                </c:pt>
                <c:pt idx="3">
                  <c:v>Software &amp; Tools</c:v>
                </c:pt>
                <c:pt idx="4">
                  <c:v>Datasets &amp; Labeling</c:v>
                </c:pt>
                <c:pt idx="5">
                  <c:v>Legal &amp; Admin</c:v>
                </c:pt>
                <c:pt idx="6">
                  <c:v>Marketing &amp; Outreach</c:v>
                </c:pt>
                <c:pt idx="7">
                  <c:v>Travel</c:v>
                </c:pt>
                <c:pt idx="8">
                  <c:v>Office &amp; Misc</c:v>
                </c:pt>
                <c:pt idx="9">
                  <c:v>Other</c:v>
                </c:pt>
              </c:strCache>
            </c:strRef>
          </c:cat>
          <c:val>
            <c:numRef>
              <c:f>'Budget by Category'!$B$4:$B$13</c:f>
              <c:numCache>
                <c:formatCode>#,##0.00" €";\(#,##0.00" €)"</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4AD-4684-8B36-2BCE3450BBB9}"/>
            </c:ext>
          </c:extLst>
        </c:ser>
        <c:ser>
          <c:idx val="1"/>
          <c:order val="1"/>
          <c:tx>
            <c:strRef>
              <c:f>'Budget by Category'!$C$3</c:f>
              <c:strCache>
                <c:ptCount val="1"/>
                <c:pt idx="0">
                  <c:v>Actual Spent (EUR)</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'Budget by Category'!$A$4:$A$13</c:f>
              <c:strCache>
                <c:ptCount val="10"/>
                <c:pt idx="0">
                  <c:v>Hardware Components</c:v>
                </c:pt>
                <c:pt idx="1">
                  <c:v>Prototyping &amp; 3D Printing</c:v>
                </c:pt>
                <c:pt idx="2">
                  <c:v>AI/Compute &amp; Cloud</c:v>
                </c:pt>
                <c:pt idx="3">
                  <c:v>Software &amp; Tools</c:v>
                </c:pt>
                <c:pt idx="4">
                  <c:v>Datasets &amp; Labeling</c:v>
                </c:pt>
                <c:pt idx="5">
                  <c:v>Legal &amp; Admin</c:v>
                </c:pt>
                <c:pt idx="6">
                  <c:v>Marketing &amp; Outreach</c:v>
                </c:pt>
                <c:pt idx="7">
                  <c:v>Travel</c:v>
                </c:pt>
                <c:pt idx="8">
                  <c:v>Office &amp; Misc</c:v>
                </c:pt>
                <c:pt idx="9">
                  <c:v>Other</c:v>
                </c:pt>
              </c:strCache>
            </c:strRef>
          </c:cat>
          <c:val>
            <c:numRef>
              <c:f>'Budget by Category'!$C$4:$C$13</c:f>
              <c:numCache>
                <c:formatCode>#,##0.00" €";\(#,##0.00" €)"</c:formatCode>
                <c:ptCount val="10"/>
                <c:pt idx="0">
                  <c:v>19.899999999999999</c:v>
                </c:pt>
                <c:pt idx="1">
                  <c:v>0</c:v>
                </c:pt>
                <c:pt idx="2">
                  <c:v>21.78</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A4AD-4684-8B36-2BCE3450BBB9}"/>
            </c:ext>
          </c:extLst>
        </c:ser>
        <c:dLbls>
          <c:showLegendKey val="0"/>
          <c:showVal val="0"/>
          <c:showCatName val="0"/>
          <c:showSerName val="0"/>
          <c:showPercent val="0"/>
          <c:showBubbleSize val="0"/>
        </c:dLbls>
        <c:gapWidth val="60"/>
        <c:axId val="71859685"/>
        <c:axId val="19417719"/>
      </c:barChart>
      <c:catAx>
        <c:axId val="718596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417719"/>
        <c:crosses val="autoZero"/>
        <c:auto val="1"/>
        <c:lblAlgn val="ctr"/>
        <c:lblOffset val="100"/>
        <c:noMultiLvlLbl val="0"/>
      </c:catAx>
      <c:valAx>
        <c:axId val="194177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EUR</a:t>
                </a:r>
              </a:p>
            </c:rich>
          </c:tx>
          <c:overlay val="0"/>
          <c:spPr>
            <a:noFill/>
            <a:ln w="0">
              <a:noFill/>
            </a:ln>
          </c:spPr>
        </c:title>
        <c:numFmt formatCode="#,##0.00&quot; €&quot;;\(#,##0.00&quot; €)&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8596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Spend Share by Category</a:t>
            </a:r>
          </a:p>
        </c:rich>
      </c:tx>
      <c:overlay val="0"/>
      <c:spPr>
        <a:noFill/>
        <a:ln w="0">
          <a:noFill/>
        </a:ln>
      </c:spPr>
    </c:title>
    <c:autoTitleDeleted val="0"/>
    <c:plotArea>
      <c:layout/>
      <c:pieChart>
        <c:varyColors val="1"/>
        <c:ser>
          <c:idx val="0"/>
          <c:order val="0"/>
          <c:tx>
            <c:strRef>
              <c:f>'Budget by Category'!$C$3</c:f>
              <c:strCache>
                <c:ptCount val="1"/>
                <c:pt idx="0">
                  <c:v>Actual Spent (EUR)</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DE55-4BD3-9947-76CC242B5D69}"/>
              </c:ext>
            </c:extLst>
          </c:dPt>
          <c:dPt>
            <c:idx val="1"/>
            <c:bubble3D val="0"/>
            <c:spPr>
              <a:solidFill>
                <a:srgbClr val="AB4744"/>
              </a:solidFill>
              <a:ln w="0">
                <a:noFill/>
              </a:ln>
            </c:spPr>
            <c:extLst>
              <c:ext xmlns:c16="http://schemas.microsoft.com/office/drawing/2014/chart" uri="{C3380CC4-5D6E-409C-BE32-E72D297353CC}">
                <c16:uniqueId val="{00000003-DE55-4BD3-9947-76CC242B5D69}"/>
              </c:ext>
            </c:extLst>
          </c:dPt>
          <c:dPt>
            <c:idx val="2"/>
            <c:bubble3D val="0"/>
            <c:spPr>
              <a:solidFill>
                <a:srgbClr val="8AA64F"/>
              </a:solidFill>
              <a:ln w="0">
                <a:noFill/>
              </a:ln>
            </c:spPr>
            <c:extLst>
              <c:ext xmlns:c16="http://schemas.microsoft.com/office/drawing/2014/chart" uri="{C3380CC4-5D6E-409C-BE32-E72D297353CC}">
                <c16:uniqueId val="{00000005-DE55-4BD3-9947-76CC242B5D69}"/>
              </c:ext>
            </c:extLst>
          </c:dPt>
          <c:dPt>
            <c:idx val="3"/>
            <c:bubble3D val="0"/>
            <c:spPr>
              <a:solidFill>
                <a:srgbClr val="725990"/>
              </a:solidFill>
              <a:ln w="0">
                <a:noFill/>
              </a:ln>
            </c:spPr>
            <c:extLst>
              <c:ext xmlns:c16="http://schemas.microsoft.com/office/drawing/2014/chart" uri="{C3380CC4-5D6E-409C-BE32-E72D297353CC}">
                <c16:uniqueId val="{00000007-DE55-4BD3-9947-76CC242B5D69}"/>
              </c:ext>
            </c:extLst>
          </c:dPt>
          <c:dPt>
            <c:idx val="4"/>
            <c:bubble3D val="0"/>
            <c:spPr>
              <a:solidFill>
                <a:srgbClr val="4299B0"/>
              </a:solidFill>
              <a:ln w="0">
                <a:noFill/>
              </a:ln>
            </c:spPr>
            <c:extLst>
              <c:ext xmlns:c16="http://schemas.microsoft.com/office/drawing/2014/chart" uri="{C3380CC4-5D6E-409C-BE32-E72D297353CC}">
                <c16:uniqueId val="{00000009-DE55-4BD3-9947-76CC242B5D69}"/>
              </c:ext>
            </c:extLst>
          </c:dPt>
          <c:dPt>
            <c:idx val="5"/>
            <c:bubble3D val="0"/>
            <c:spPr>
              <a:solidFill>
                <a:srgbClr val="DC853E"/>
              </a:solidFill>
              <a:ln w="0">
                <a:noFill/>
              </a:ln>
            </c:spPr>
            <c:extLst>
              <c:ext xmlns:c16="http://schemas.microsoft.com/office/drawing/2014/chart" uri="{C3380CC4-5D6E-409C-BE32-E72D297353CC}">
                <c16:uniqueId val="{0000000B-DE55-4BD3-9947-76CC242B5D69}"/>
              </c:ext>
            </c:extLst>
          </c:dPt>
          <c:dPt>
            <c:idx val="6"/>
            <c:bubble3D val="0"/>
            <c:spPr>
              <a:solidFill>
                <a:srgbClr val="93A9CE"/>
              </a:solidFill>
              <a:ln w="0">
                <a:noFill/>
              </a:ln>
            </c:spPr>
            <c:extLst>
              <c:ext xmlns:c16="http://schemas.microsoft.com/office/drawing/2014/chart" uri="{C3380CC4-5D6E-409C-BE32-E72D297353CC}">
                <c16:uniqueId val="{0000000D-DE55-4BD3-9947-76CC242B5D69}"/>
              </c:ext>
            </c:extLst>
          </c:dPt>
          <c:dPt>
            <c:idx val="7"/>
            <c:bubble3D val="0"/>
            <c:spPr>
              <a:solidFill>
                <a:srgbClr val="D09493"/>
              </a:solidFill>
              <a:ln w="0">
                <a:noFill/>
              </a:ln>
            </c:spPr>
            <c:extLst>
              <c:ext xmlns:c16="http://schemas.microsoft.com/office/drawing/2014/chart" uri="{C3380CC4-5D6E-409C-BE32-E72D297353CC}">
                <c16:uniqueId val="{0000000F-DE55-4BD3-9947-76CC242B5D69}"/>
              </c:ext>
            </c:extLst>
          </c:dPt>
          <c:dPt>
            <c:idx val="8"/>
            <c:bubble3D val="0"/>
            <c:spPr>
              <a:solidFill>
                <a:srgbClr val="B8CD97"/>
              </a:solidFill>
              <a:ln w="0">
                <a:noFill/>
              </a:ln>
            </c:spPr>
            <c:extLst>
              <c:ext xmlns:c16="http://schemas.microsoft.com/office/drawing/2014/chart" uri="{C3380CC4-5D6E-409C-BE32-E72D297353CC}">
                <c16:uniqueId val="{00000011-DE55-4BD3-9947-76CC242B5D69}"/>
              </c:ext>
            </c:extLst>
          </c:dPt>
          <c:dPt>
            <c:idx val="9"/>
            <c:bubble3D val="0"/>
            <c:spPr>
              <a:solidFill>
                <a:srgbClr val="A99BBD"/>
              </a:solidFill>
              <a:ln w="0">
                <a:noFill/>
              </a:ln>
            </c:spPr>
            <c:extLst>
              <c:ext xmlns:c16="http://schemas.microsoft.com/office/drawing/2014/chart" uri="{C3380CC4-5D6E-409C-BE32-E72D297353CC}">
                <c16:uniqueId val="{00000013-DE55-4BD3-9947-76CC242B5D6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DE55-4BD3-9947-76CC242B5D69}"/>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DE55-4BD3-9947-76CC242B5D69}"/>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DE55-4BD3-9947-76CC242B5D69}"/>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DE55-4BD3-9947-76CC242B5D69}"/>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DE55-4BD3-9947-76CC242B5D69}"/>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DE55-4BD3-9947-76CC242B5D69}"/>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DE55-4BD3-9947-76CC242B5D69}"/>
                </c:ext>
              </c:extLst>
            </c:dLbl>
            <c:dLbl>
              <c:idx val="7"/>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DE55-4BD3-9947-76CC242B5D69}"/>
                </c:ext>
              </c:extLst>
            </c:dLbl>
            <c:dLbl>
              <c:idx val="8"/>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DE55-4BD3-9947-76CC242B5D69}"/>
                </c:ext>
              </c:extLst>
            </c:dLbl>
            <c:dLbl>
              <c:idx val="9"/>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DE55-4BD3-9947-76CC242B5D6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'Budget by Category'!$A$4:$A$13</c:f>
              <c:strCache>
                <c:ptCount val="10"/>
                <c:pt idx="0">
                  <c:v>Hardware Components</c:v>
                </c:pt>
                <c:pt idx="1">
                  <c:v>Prototyping &amp; 3D Printing</c:v>
                </c:pt>
                <c:pt idx="2">
                  <c:v>AI/Compute &amp; Cloud</c:v>
                </c:pt>
                <c:pt idx="3">
                  <c:v>Software &amp; Tools</c:v>
                </c:pt>
                <c:pt idx="4">
                  <c:v>Datasets &amp; Labeling</c:v>
                </c:pt>
                <c:pt idx="5">
                  <c:v>Legal &amp; Admin</c:v>
                </c:pt>
                <c:pt idx="6">
                  <c:v>Marketing &amp; Outreach</c:v>
                </c:pt>
                <c:pt idx="7">
                  <c:v>Travel</c:v>
                </c:pt>
                <c:pt idx="8">
                  <c:v>Office &amp; Misc</c:v>
                </c:pt>
                <c:pt idx="9">
                  <c:v>Other</c:v>
                </c:pt>
              </c:strCache>
            </c:strRef>
          </c:cat>
          <c:val>
            <c:numRef>
              <c:f>'Budget by Category'!$C$4:$C$13</c:f>
              <c:numCache>
                <c:formatCode>#,##0.00" €";\(#,##0.00" €)"</c:formatCode>
                <c:ptCount val="10"/>
                <c:pt idx="0">
                  <c:v>19.899999999999999</c:v>
                </c:pt>
                <c:pt idx="1">
                  <c:v>0</c:v>
                </c:pt>
                <c:pt idx="2">
                  <c:v>21.78</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4-DE55-4BD3-9947-76CC242B5D69}"/>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6</xdr:col>
      <xdr:colOff>452160</xdr:colOff>
      <xdr:row>28</xdr:row>
      <xdr:rowOff>1080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11</xdr:row>
      <xdr:rowOff>0</xdr:rowOff>
    </xdr:from>
    <xdr:to>
      <xdr:col>9</xdr:col>
      <xdr:colOff>546840</xdr:colOff>
      <xdr:row>28</xdr:row>
      <xdr:rowOff>1080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tabSelected="1" zoomScaleNormal="100" workbookViewId="0">
      <selection sqref="A1:H1"/>
    </sheetView>
  </sheetViews>
  <sheetFormatPr defaultColWidth="8.54296875" defaultRowHeight="14.5" x14ac:dyDescent="0.35"/>
  <cols>
    <col min="1" max="8" width="14" customWidth="1"/>
  </cols>
  <sheetData>
    <row r="1" spans="1:8" ht="39.75" customHeight="1" x14ac:dyDescent="0.35">
      <c r="A1" s="9" t="s">
        <v>0</v>
      </c>
      <c r="B1" s="9"/>
      <c r="C1" s="9"/>
      <c r="D1" s="9"/>
      <c r="E1" s="9"/>
      <c r="F1" s="9"/>
      <c r="G1" s="9"/>
      <c r="H1" s="9"/>
    </row>
    <row r="2" spans="1:8" ht="15.75" customHeight="1" x14ac:dyDescent="0.35">
      <c r="A2" s="8" t="s">
        <v>1</v>
      </c>
      <c r="B2" s="8"/>
      <c r="C2" s="8"/>
      <c r="D2" s="8"/>
      <c r="E2" s="8"/>
      <c r="F2" s="8"/>
      <c r="G2" s="8"/>
      <c r="H2" s="8"/>
    </row>
    <row r="4" spans="1:8" ht="18" customHeight="1" x14ac:dyDescent="0.35">
      <c r="A4" s="7" t="s">
        <v>2</v>
      </c>
      <c r="B4" s="7"/>
      <c r="C4" s="7" t="s">
        <v>3</v>
      </c>
      <c r="D4" s="7"/>
      <c r="E4" s="7" t="s">
        <v>4</v>
      </c>
      <c r="F4" s="7"/>
      <c r="G4" s="7" t="s">
        <v>5</v>
      </c>
      <c r="H4" s="7"/>
    </row>
    <row r="5" spans="1:8" ht="33.75" customHeight="1" x14ac:dyDescent="0.35">
      <c r="A5" s="6">
        <f>'Budget by Category'!B14</f>
        <v>0</v>
      </c>
      <c r="B5" s="6"/>
      <c r="C5" s="6">
        <f>'Budget by Category'!C14</f>
        <v>41.68</v>
      </c>
      <c r="D5" s="6"/>
      <c r="E5" s="6">
        <f>'Budget by Category'!D14</f>
        <v>-41.68</v>
      </c>
      <c r="F5" s="6"/>
      <c r="G5" s="5" t="str">
        <f>'Budget by Category'!E14</f>
        <v/>
      </c>
      <c r="H5" s="5"/>
    </row>
    <row r="7" spans="1:8" ht="18" customHeight="1" x14ac:dyDescent="0.35">
      <c r="A7" s="7" t="s">
        <v>6</v>
      </c>
      <c r="B7" s="7"/>
      <c r="C7" s="7" t="s">
        <v>7</v>
      </c>
      <c r="D7" s="7"/>
      <c r="E7" s="7" t="s">
        <v>8</v>
      </c>
      <c r="F7" s="7"/>
      <c r="G7" s="7" t="s">
        <v>9</v>
      </c>
      <c r="H7" s="7"/>
    </row>
    <row r="8" spans="1:8" ht="33.75" customHeight="1" x14ac:dyDescent="0.35">
      <c r="A8" s="4">
        <f>COUNTIF('Expenditure Registry'!A4:A43,"E*")</f>
        <v>40</v>
      </c>
      <c r="B8" s="4"/>
      <c r="C8" s="4">
        <f>COUNTIF('Meeting Log'!A4:A33,"M*")</f>
        <v>1</v>
      </c>
      <c r="D8" s="4"/>
      <c r="E8" s="4">
        <f>COUNTIFS('Meeting Log'!A4:A33,"M*",'Meeting Log'!I4:I33,"Completed")</f>
        <v>1</v>
      </c>
      <c r="F8" s="4"/>
      <c r="G8" s="4">
        <f>COUNTIFS('Action Items'!A4:A33,"A*",'Action Items'!H4:H33,"&lt;&gt;Done")</f>
        <v>1</v>
      </c>
      <c r="H8" s="4"/>
    </row>
    <row r="11" spans="1:8" x14ac:dyDescent="0.35">
      <c r="A11" s="3" t="s">
        <v>10</v>
      </c>
      <c r="B11" s="3"/>
      <c r="C11" s="3"/>
      <c r="D11" s="3"/>
      <c r="E11" s="3"/>
      <c r="F11" s="3"/>
      <c r="G11" s="3"/>
      <c r="H11" s="3"/>
    </row>
  </sheetData>
  <mergeCells count="19">
    <mergeCell ref="A8:B8"/>
    <mergeCell ref="C8:D8"/>
    <mergeCell ref="E8:F8"/>
    <mergeCell ref="G8:H8"/>
    <mergeCell ref="A11:H11"/>
    <mergeCell ref="A5:B5"/>
    <mergeCell ref="C5:D5"/>
    <mergeCell ref="E5:F5"/>
    <mergeCell ref="G5:H5"/>
    <mergeCell ref="A7:B7"/>
    <mergeCell ref="C7:D7"/>
    <mergeCell ref="E7:F7"/>
    <mergeCell ref="G7:H7"/>
    <mergeCell ref="A1:H1"/>
    <mergeCell ref="A2:H2"/>
    <mergeCell ref="A4:B4"/>
    <mergeCell ref="C4:D4"/>
    <mergeCell ref="E4:F4"/>
    <mergeCell ref="G4:H4"/>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opLeftCell="A6" zoomScaleNormal="100" workbookViewId="0">
      <selection activeCell="C11" sqref="C11"/>
    </sheetView>
  </sheetViews>
  <sheetFormatPr defaultColWidth="8.54296875" defaultRowHeight="14.5" x14ac:dyDescent="0.35"/>
  <cols>
    <col min="1" max="1" width="3" customWidth="1"/>
    <col min="2" max="2" width="30" customWidth="1"/>
    <col min="3" max="3" width="90" customWidth="1"/>
  </cols>
  <sheetData>
    <row r="1" spans="1:6" ht="33.75" customHeight="1" x14ac:dyDescent="0.35">
      <c r="A1" s="9" t="s">
        <v>11</v>
      </c>
      <c r="B1" s="9"/>
      <c r="C1" s="9"/>
      <c r="D1" s="9"/>
      <c r="E1" s="9"/>
      <c r="F1" s="9"/>
    </row>
    <row r="2" spans="1:6" ht="15.75" customHeight="1" x14ac:dyDescent="0.35">
      <c r="A2" s="8" t="s">
        <v>12</v>
      </c>
      <c r="B2" s="8"/>
      <c r="C2" s="8"/>
      <c r="D2" s="8"/>
      <c r="E2" s="8"/>
      <c r="F2" s="8"/>
    </row>
    <row r="5" spans="1:6" ht="45" customHeight="1" x14ac:dyDescent="0.35">
      <c r="B5" s="11" t="s">
        <v>13</v>
      </c>
      <c r="C5" s="12" t="s">
        <v>14</v>
      </c>
    </row>
    <row r="6" spans="1:6" ht="60" customHeight="1" x14ac:dyDescent="0.35">
      <c r="B6" s="11" t="s">
        <v>15</v>
      </c>
      <c r="C6" s="12" t="s">
        <v>16</v>
      </c>
    </row>
    <row r="7" spans="1:6" ht="60" customHeight="1" x14ac:dyDescent="0.35">
      <c r="B7" s="11" t="s">
        <v>17</v>
      </c>
      <c r="C7" s="12" t="s">
        <v>18</v>
      </c>
    </row>
    <row r="8" spans="1:6" ht="45" customHeight="1" x14ac:dyDescent="0.35">
      <c r="B8" s="11" t="s">
        <v>19</v>
      </c>
      <c r="C8" s="12" t="s">
        <v>20</v>
      </c>
    </row>
    <row r="9" spans="1:6" ht="30" customHeight="1" x14ac:dyDescent="0.35">
      <c r="B9" s="11" t="s">
        <v>21</v>
      </c>
      <c r="C9" s="12" t="s">
        <v>22</v>
      </c>
    </row>
    <row r="10" spans="1:6" ht="45" customHeight="1" x14ac:dyDescent="0.35">
      <c r="B10" s="11" t="s">
        <v>23</v>
      </c>
      <c r="C10" s="12" t="s">
        <v>24</v>
      </c>
    </row>
    <row r="11" spans="1:6" ht="120" customHeight="1" x14ac:dyDescent="0.35">
      <c r="B11" s="11" t="s">
        <v>25</v>
      </c>
      <c r="C11" s="12" t="s">
        <v>26</v>
      </c>
    </row>
    <row r="13" spans="1:6" x14ac:dyDescent="0.35">
      <c r="B13" s="10" t="s">
        <v>27</v>
      </c>
    </row>
    <row r="14" spans="1:6" x14ac:dyDescent="0.35">
      <c r="B14" s="13"/>
      <c r="C14" s="14" t="s">
        <v>28</v>
      </c>
    </row>
    <row r="15" spans="1:6" x14ac:dyDescent="0.35">
      <c r="B15" s="15"/>
      <c r="C15" s="14" t="s">
        <v>29</v>
      </c>
    </row>
    <row r="16" spans="1:6" x14ac:dyDescent="0.35">
      <c r="B16" s="16"/>
      <c r="C16" s="14" t="s">
        <v>30</v>
      </c>
    </row>
    <row r="18" spans="2:3" x14ac:dyDescent="0.35">
      <c r="B18" s="10" t="s">
        <v>31</v>
      </c>
      <c r="C18" s="14" t="s">
        <v>32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4"/>
  <sheetViews>
    <sheetView showGridLines="0" zoomScaleNormal="100" workbookViewId="0">
      <pane ySplit="3" topLeftCell="A4" activePane="bottomLeft" state="frozen"/>
      <selection pane="bottomLeft" activeCell="J13" sqref="J13"/>
    </sheetView>
  </sheetViews>
  <sheetFormatPr defaultColWidth="8.54296875" defaultRowHeight="14.5" x14ac:dyDescent="0.35"/>
  <cols>
    <col min="1" max="1" width="7" customWidth="1"/>
    <col min="2" max="2" width="12" customWidth="1"/>
    <col min="3" max="3" width="20" customWidth="1"/>
    <col min="4" max="4" width="34" customWidth="1"/>
    <col min="5" max="5" width="20" customWidth="1"/>
    <col min="6" max="6" width="12" customWidth="1"/>
    <col min="7" max="7" width="16" customWidth="1"/>
    <col min="8" max="8" width="14" customWidth="1"/>
    <col min="9" max="9" width="12" customWidth="1"/>
    <col min="10" max="10" width="18" customWidth="1"/>
    <col min="11" max="11" width="30" customWidth="1"/>
  </cols>
  <sheetData>
    <row r="1" spans="1:11" ht="33.75" customHeight="1" x14ac:dyDescent="0.35">
      <c r="A1" s="9" t="s">
        <v>33</v>
      </c>
      <c r="B1" s="9"/>
      <c r="C1" s="9"/>
      <c r="D1" s="9"/>
      <c r="E1" s="9"/>
      <c r="F1" s="9"/>
      <c r="G1" s="9"/>
      <c r="H1" s="9"/>
      <c r="I1" s="9"/>
      <c r="J1" s="9"/>
      <c r="K1" s="9"/>
    </row>
    <row r="2" spans="1:11" ht="15.75" customHeight="1" x14ac:dyDescent="0.35">
      <c r="A2" s="8" t="s">
        <v>34</v>
      </c>
      <c r="B2" s="8"/>
      <c r="C2" s="8"/>
      <c r="D2" s="8"/>
      <c r="E2" s="8"/>
      <c r="F2" s="8"/>
      <c r="G2" s="8"/>
      <c r="H2" s="8"/>
      <c r="I2" s="8"/>
      <c r="J2" s="8"/>
      <c r="K2" s="8"/>
    </row>
    <row r="3" spans="1:11" ht="30" customHeight="1" x14ac:dyDescent="0.35">
      <c r="A3" s="17" t="s">
        <v>35</v>
      </c>
      <c r="B3" s="17" t="s">
        <v>36</v>
      </c>
      <c r="C3" s="17" t="s">
        <v>37</v>
      </c>
      <c r="D3" s="17" t="s">
        <v>38</v>
      </c>
      <c r="E3" s="17" t="s">
        <v>39</v>
      </c>
      <c r="F3" s="17" t="s">
        <v>40</v>
      </c>
      <c r="G3" s="17" t="s">
        <v>41</v>
      </c>
      <c r="H3" s="17" t="s">
        <v>42</v>
      </c>
      <c r="I3" s="17" t="s">
        <v>43</v>
      </c>
      <c r="J3" s="17" t="s">
        <v>44</v>
      </c>
      <c r="K3" s="17" t="s">
        <v>45</v>
      </c>
    </row>
    <row r="4" spans="1:11" ht="37.5" x14ac:dyDescent="0.35">
      <c r="A4" s="18" t="s">
        <v>46</v>
      </c>
      <c r="B4" s="22">
        <v>46226</v>
      </c>
      <c r="C4" s="21" t="s">
        <v>47</v>
      </c>
      <c r="D4" s="23" t="s">
        <v>48</v>
      </c>
      <c r="E4" s="21" t="s">
        <v>49</v>
      </c>
      <c r="F4" s="24">
        <v>19.899999999999999</v>
      </c>
      <c r="G4" s="21" t="s">
        <v>67</v>
      </c>
      <c r="H4" s="21" t="s">
        <v>102</v>
      </c>
      <c r="I4" s="21" t="s">
        <v>50</v>
      </c>
      <c r="J4" s="21" t="s">
        <v>51</v>
      </c>
      <c r="K4" s="23" t="s">
        <v>52</v>
      </c>
    </row>
    <row r="5" spans="1:11" x14ac:dyDescent="0.35">
      <c r="A5" s="18" t="s">
        <v>103</v>
      </c>
      <c r="B5" s="22">
        <v>46224</v>
      </c>
      <c r="C5" s="21" t="s">
        <v>60</v>
      </c>
      <c r="D5" s="23" t="s">
        <v>142</v>
      </c>
      <c r="E5" s="21" t="s">
        <v>143</v>
      </c>
      <c r="F5" s="24">
        <v>21.78</v>
      </c>
      <c r="G5" s="21" t="s">
        <v>67</v>
      </c>
      <c r="H5" s="21" t="s">
        <v>102</v>
      </c>
      <c r="I5" s="21" t="s">
        <v>50</v>
      </c>
      <c r="J5" s="21"/>
      <c r="K5" s="23"/>
    </row>
    <row r="6" spans="1:11" x14ac:dyDescent="0.35">
      <c r="A6" s="18" t="s">
        <v>104</v>
      </c>
      <c r="B6" s="26"/>
      <c r="C6" s="25"/>
      <c r="D6" s="27"/>
      <c r="E6" s="25"/>
      <c r="F6" s="24"/>
      <c r="G6" s="25"/>
      <c r="H6" s="25"/>
      <c r="I6" s="25"/>
      <c r="J6" s="25"/>
      <c r="K6" s="27"/>
    </row>
    <row r="7" spans="1:11" x14ac:dyDescent="0.35">
      <c r="A7" s="18" t="s">
        <v>105</v>
      </c>
      <c r="B7" s="22"/>
      <c r="C7" s="21"/>
      <c r="D7" s="23"/>
      <c r="E7" s="21"/>
      <c r="F7" s="24"/>
      <c r="G7" s="21"/>
      <c r="H7" s="21"/>
      <c r="I7" s="21"/>
      <c r="J7" s="21"/>
      <c r="K7" s="23"/>
    </row>
    <row r="8" spans="1:11" x14ac:dyDescent="0.35">
      <c r="A8" s="18" t="s">
        <v>106</v>
      </c>
      <c r="B8" s="26"/>
      <c r="C8" s="25"/>
      <c r="D8" s="27"/>
      <c r="E8" s="25"/>
      <c r="F8" s="24"/>
      <c r="G8" s="25"/>
      <c r="H8" s="25"/>
      <c r="I8" s="25"/>
      <c r="J8" s="25"/>
      <c r="K8" s="27"/>
    </row>
    <row r="9" spans="1:11" x14ac:dyDescent="0.35">
      <c r="A9" s="18" t="s">
        <v>107</v>
      </c>
      <c r="B9" s="22"/>
      <c r="C9" s="21"/>
      <c r="D9" s="23"/>
      <c r="E9" s="21"/>
      <c r="F9" s="24"/>
      <c r="G9" s="21"/>
      <c r="H9" s="21"/>
      <c r="I9" s="21"/>
      <c r="J9" s="21"/>
      <c r="K9" s="23"/>
    </row>
    <row r="10" spans="1:11" x14ac:dyDescent="0.35">
      <c r="A10" s="18" t="s">
        <v>108</v>
      </c>
      <c r="B10" s="26"/>
      <c r="C10" s="25"/>
      <c r="D10" s="27"/>
      <c r="E10" s="25"/>
      <c r="F10" s="24"/>
      <c r="G10" s="25"/>
      <c r="H10" s="25"/>
      <c r="I10" s="25"/>
      <c r="J10" s="25"/>
      <c r="K10" s="27"/>
    </row>
    <row r="11" spans="1:11" x14ac:dyDescent="0.35">
      <c r="A11" s="18" t="s">
        <v>109</v>
      </c>
      <c r="B11" s="22"/>
      <c r="C11" s="21"/>
      <c r="D11" s="23"/>
      <c r="E11" s="21"/>
      <c r="F11" s="24"/>
      <c r="G11" s="21"/>
      <c r="H11" s="21"/>
      <c r="I11" s="21"/>
      <c r="J11" s="21"/>
      <c r="K11" s="23"/>
    </row>
    <row r="12" spans="1:11" x14ac:dyDescent="0.35">
      <c r="A12" s="18" t="s">
        <v>110</v>
      </c>
      <c r="B12" s="26"/>
      <c r="C12" s="25"/>
      <c r="D12" s="27"/>
      <c r="E12" s="25"/>
      <c r="F12" s="24"/>
      <c r="G12" s="25"/>
      <c r="H12" s="25"/>
      <c r="I12" s="25"/>
      <c r="J12" s="25"/>
      <c r="K12" s="27"/>
    </row>
    <row r="13" spans="1:11" x14ac:dyDescent="0.35">
      <c r="A13" s="18" t="s">
        <v>111</v>
      </c>
      <c r="B13" s="22"/>
      <c r="C13" s="21"/>
      <c r="D13" s="23"/>
      <c r="E13" s="21"/>
      <c r="F13" s="24"/>
      <c r="G13" s="21"/>
      <c r="H13" s="21"/>
      <c r="I13" s="21"/>
      <c r="J13" s="21"/>
      <c r="K13" s="23"/>
    </row>
    <row r="14" spans="1:11" x14ac:dyDescent="0.35">
      <c r="A14" s="18" t="s">
        <v>112</v>
      </c>
      <c r="B14" s="26"/>
      <c r="C14" s="25"/>
      <c r="D14" s="27"/>
      <c r="E14" s="25"/>
      <c r="F14" s="24"/>
      <c r="G14" s="25"/>
      <c r="H14" s="25"/>
      <c r="I14" s="25"/>
      <c r="J14" s="25"/>
      <c r="K14" s="27"/>
    </row>
    <row r="15" spans="1:11" x14ac:dyDescent="0.35">
      <c r="A15" s="18" t="s">
        <v>113</v>
      </c>
      <c r="B15" s="22"/>
      <c r="C15" s="21"/>
      <c r="D15" s="23"/>
      <c r="E15" s="21"/>
      <c r="F15" s="24"/>
      <c r="G15" s="21"/>
      <c r="H15" s="21"/>
      <c r="I15" s="21"/>
      <c r="J15" s="21"/>
      <c r="K15" s="23"/>
    </row>
    <row r="16" spans="1:11" x14ac:dyDescent="0.35">
      <c r="A16" s="18" t="s">
        <v>114</v>
      </c>
      <c r="B16" s="26"/>
      <c r="C16" s="25"/>
      <c r="D16" s="27"/>
      <c r="E16" s="25"/>
      <c r="F16" s="24"/>
      <c r="G16" s="25"/>
      <c r="H16" s="25"/>
      <c r="I16" s="25"/>
      <c r="J16" s="25"/>
      <c r="K16" s="27"/>
    </row>
    <row r="17" spans="1:11" x14ac:dyDescent="0.35">
      <c r="A17" s="18" t="s">
        <v>115</v>
      </c>
      <c r="B17" s="22"/>
      <c r="C17" s="21"/>
      <c r="D17" s="23"/>
      <c r="E17" s="21"/>
      <c r="F17" s="24"/>
      <c r="G17" s="21"/>
      <c r="H17" s="21"/>
      <c r="I17" s="21"/>
      <c r="J17" s="21"/>
      <c r="K17" s="23"/>
    </row>
    <row r="18" spans="1:11" x14ac:dyDescent="0.35">
      <c r="A18" s="18" t="s">
        <v>116</v>
      </c>
      <c r="B18" s="26"/>
      <c r="C18" s="25"/>
      <c r="D18" s="27"/>
      <c r="E18" s="25"/>
      <c r="F18" s="24"/>
      <c r="G18" s="25"/>
      <c r="H18" s="25"/>
      <c r="I18" s="25"/>
      <c r="J18" s="25"/>
      <c r="K18" s="27"/>
    </row>
    <row r="19" spans="1:11" x14ac:dyDescent="0.35">
      <c r="A19" s="18" t="s">
        <v>117</v>
      </c>
      <c r="B19" s="22"/>
      <c r="C19" s="21"/>
      <c r="D19" s="23"/>
      <c r="E19" s="21"/>
      <c r="F19" s="24"/>
      <c r="G19" s="21"/>
      <c r="H19" s="21"/>
      <c r="I19" s="21"/>
      <c r="J19" s="21"/>
      <c r="K19" s="23"/>
    </row>
    <row r="20" spans="1:11" x14ac:dyDescent="0.35">
      <c r="A20" s="18" t="s">
        <v>118</v>
      </c>
      <c r="B20" s="26"/>
      <c r="C20" s="25"/>
      <c r="D20" s="27"/>
      <c r="E20" s="25"/>
      <c r="F20" s="24"/>
      <c r="G20" s="25"/>
      <c r="H20" s="25"/>
      <c r="I20" s="25"/>
      <c r="J20" s="25"/>
      <c r="K20" s="27"/>
    </row>
    <row r="21" spans="1:11" x14ac:dyDescent="0.35">
      <c r="A21" s="18" t="s">
        <v>119</v>
      </c>
      <c r="B21" s="22"/>
      <c r="C21" s="21"/>
      <c r="D21" s="23"/>
      <c r="E21" s="21"/>
      <c r="F21" s="24"/>
      <c r="G21" s="21"/>
      <c r="H21" s="21"/>
      <c r="I21" s="21"/>
      <c r="J21" s="21"/>
      <c r="K21" s="23"/>
    </row>
    <row r="22" spans="1:11" x14ac:dyDescent="0.35">
      <c r="A22" s="18" t="s">
        <v>120</v>
      </c>
      <c r="B22" s="26"/>
      <c r="C22" s="25"/>
      <c r="D22" s="27"/>
      <c r="E22" s="25"/>
      <c r="F22" s="24"/>
      <c r="G22" s="25"/>
      <c r="H22" s="25"/>
      <c r="I22" s="25"/>
      <c r="J22" s="25"/>
      <c r="K22" s="27"/>
    </row>
    <row r="23" spans="1:11" x14ac:dyDescent="0.35">
      <c r="A23" s="18" t="s">
        <v>121</v>
      </c>
      <c r="B23" s="22"/>
      <c r="C23" s="21"/>
      <c r="D23" s="23"/>
      <c r="E23" s="21"/>
      <c r="F23" s="24"/>
      <c r="G23" s="21"/>
      <c r="H23" s="21"/>
      <c r="I23" s="21"/>
      <c r="J23" s="21"/>
      <c r="K23" s="23"/>
    </row>
    <row r="24" spans="1:11" x14ac:dyDescent="0.35">
      <c r="A24" s="18" t="s">
        <v>122</v>
      </c>
      <c r="B24" s="26"/>
      <c r="C24" s="25"/>
      <c r="D24" s="27"/>
      <c r="E24" s="25"/>
      <c r="F24" s="24"/>
      <c r="G24" s="25"/>
      <c r="H24" s="25"/>
      <c r="I24" s="25"/>
      <c r="J24" s="25"/>
      <c r="K24" s="27"/>
    </row>
    <row r="25" spans="1:11" x14ac:dyDescent="0.35">
      <c r="A25" s="18" t="s">
        <v>123</v>
      </c>
      <c r="B25" s="22"/>
      <c r="C25" s="21"/>
      <c r="D25" s="23"/>
      <c r="E25" s="21"/>
      <c r="F25" s="24"/>
      <c r="G25" s="21"/>
      <c r="H25" s="21"/>
      <c r="I25" s="21"/>
      <c r="J25" s="21"/>
      <c r="K25" s="23"/>
    </row>
    <row r="26" spans="1:11" x14ac:dyDescent="0.35">
      <c r="A26" s="18" t="s">
        <v>124</v>
      </c>
      <c r="B26" s="26"/>
      <c r="C26" s="25"/>
      <c r="D26" s="27"/>
      <c r="E26" s="25"/>
      <c r="F26" s="24"/>
      <c r="G26" s="25"/>
      <c r="H26" s="25"/>
      <c r="I26" s="25"/>
      <c r="J26" s="25"/>
      <c r="K26" s="27"/>
    </row>
    <row r="27" spans="1:11" x14ac:dyDescent="0.35">
      <c r="A27" s="18" t="s">
        <v>125</v>
      </c>
      <c r="B27" s="22"/>
      <c r="C27" s="21"/>
      <c r="D27" s="23"/>
      <c r="E27" s="21"/>
      <c r="F27" s="24"/>
      <c r="G27" s="21"/>
      <c r="H27" s="21"/>
      <c r="I27" s="21"/>
      <c r="J27" s="21"/>
      <c r="K27" s="23"/>
    </row>
    <row r="28" spans="1:11" x14ac:dyDescent="0.35">
      <c r="A28" s="18" t="s">
        <v>126</v>
      </c>
      <c r="B28" s="26"/>
      <c r="C28" s="25"/>
      <c r="D28" s="27"/>
      <c r="E28" s="25"/>
      <c r="F28" s="24"/>
      <c r="G28" s="25"/>
      <c r="H28" s="25"/>
      <c r="I28" s="25"/>
      <c r="J28" s="25"/>
      <c r="K28" s="27"/>
    </row>
    <row r="29" spans="1:11" x14ac:dyDescent="0.35">
      <c r="A29" s="18" t="s">
        <v>127</v>
      </c>
      <c r="B29" s="22"/>
      <c r="C29" s="21"/>
      <c r="D29" s="23"/>
      <c r="E29" s="21"/>
      <c r="F29" s="24"/>
      <c r="G29" s="21"/>
      <c r="H29" s="21"/>
      <c r="I29" s="21"/>
      <c r="J29" s="21"/>
      <c r="K29" s="23"/>
    </row>
    <row r="30" spans="1:11" x14ac:dyDescent="0.35">
      <c r="A30" s="18" t="s">
        <v>128</v>
      </c>
      <c r="B30" s="26"/>
      <c r="C30" s="25"/>
      <c r="D30" s="27"/>
      <c r="E30" s="25"/>
      <c r="F30" s="24"/>
      <c r="G30" s="25"/>
      <c r="H30" s="25"/>
      <c r="I30" s="25"/>
      <c r="J30" s="25"/>
      <c r="K30" s="27"/>
    </row>
    <row r="31" spans="1:11" x14ac:dyDescent="0.35">
      <c r="A31" s="18" t="s">
        <v>129</v>
      </c>
      <c r="B31" s="22"/>
      <c r="C31" s="21"/>
      <c r="D31" s="23"/>
      <c r="E31" s="21"/>
      <c r="F31" s="24"/>
      <c r="G31" s="21"/>
      <c r="H31" s="21"/>
      <c r="I31" s="21"/>
      <c r="J31" s="21"/>
      <c r="K31" s="23"/>
    </row>
    <row r="32" spans="1:11" x14ac:dyDescent="0.35">
      <c r="A32" s="18" t="s">
        <v>130</v>
      </c>
      <c r="B32" s="26"/>
      <c r="C32" s="25"/>
      <c r="D32" s="27"/>
      <c r="E32" s="25"/>
      <c r="F32" s="24"/>
      <c r="G32" s="25"/>
      <c r="H32" s="25"/>
      <c r="I32" s="25"/>
      <c r="J32" s="25"/>
      <c r="K32" s="27"/>
    </row>
    <row r="33" spans="1:11" x14ac:dyDescent="0.35">
      <c r="A33" s="18" t="s">
        <v>131</v>
      </c>
      <c r="B33" s="22"/>
      <c r="C33" s="21"/>
      <c r="D33" s="23"/>
      <c r="E33" s="21"/>
      <c r="F33" s="24"/>
      <c r="G33" s="21"/>
      <c r="H33" s="21"/>
      <c r="I33" s="21"/>
      <c r="J33" s="21"/>
      <c r="K33" s="23"/>
    </row>
    <row r="34" spans="1:11" x14ac:dyDescent="0.35">
      <c r="A34" s="18" t="s">
        <v>132</v>
      </c>
      <c r="B34" s="26"/>
      <c r="C34" s="25"/>
      <c r="D34" s="27"/>
      <c r="E34" s="25"/>
      <c r="F34" s="24"/>
      <c r="G34" s="25"/>
      <c r="H34" s="25"/>
      <c r="I34" s="25"/>
      <c r="J34" s="25"/>
      <c r="K34" s="27"/>
    </row>
    <row r="35" spans="1:11" x14ac:dyDescent="0.35">
      <c r="A35" s="18" t="s">
        <v>133</v>
      </c>
      <c r="B35" s="22"/>
      <c r="C35" s="21"/>
      <c r="D35" s="23"/>
      <c r="E35" s="21"/>
      <c r="F35" s="24"/>
      <c r="G35" s="21"/>
      <c r="H35" s="21"/>
      <c r="I35" s="21"/>
      <c r="J35" s="21"/>
      <c r="K35" s="23"/>
    </row>
    <row r="36" spans="1:11" x14ac:dyDescent="0.35">
      <c r="A36" s="18" t="s">
        <v>134</v>
      </c>
      <c r="B36" s="26"/>
      <c r="C36" s="25"/>
      <c r="D36" s="27"/>
      <c r="E36" s="25"/>
      <c r="F36" s="24"/>
      <c r="G36" s="25"/>
      <c r="H36" s="25"/>
      <c r="I36" s="25"/>
      <c r="J36" s="25"/>
      <c r="K36" s="27"/>
    </row>
    <row r="37" spans="1:11" x14ac:dyDescent="0.35">
      <c r="A37" s="18" t="s">
        <v>135</v>
      </c>
      <c r="B37" s="22"/>
      <c r="C37" s="21"/>
      <c r="D37" s="23"/>
      <c r="E37" s="21"/>
      <c r="F37" s="24"/>
      <c r="G37" s="21"/>
      <c r="H37" s="21"/>
      <c r="I37" s="21"/>
      <c r="J37" s="21"/>
      <c r="K37" s="23"/>
    </row>
    <row r="38" spans="1:11" x14ac:dyDescent="0.35">
      <c r="A38" s="18" t="s">
        <v>136</v>
      </c>
      <c r="B38" s="26"/>
      <c r="C38" s="25"/>
      <c r="D38" s="27"/>
      <c r="E38" s="25"/>
      <c r="F38" s="24"/>
      <c r="G38" s="25"/>
      <c r="H38" s="25"/>
      <c r="I38" s="25"/>
      <c r="J38" s="25"/>
      <c r="K38" s="27"/>
    </row>
    <row r="39" spans="1:11" x14ac:dyDescent="0.35">
      <c r="A39" s="18" t="s">
        <v>137</v>
      </c>
      <c r="B39" s="22"/>
      <c r="C39" s="21"/>
      <c r="D39" s="23"/>
      <c r="E39" s="21"/>
      <c r="F39" s="24"/>
      <c r="G39" s="21"/>
      <c r="H39" s="21"/>
      <c r="I39" s="21"/>
      <c r="J39" s="21"/>
      <c r="K39" s="23"/>
    </row>
    <row r="40" spans="1:11" x14ac:dyDescent="0.35">
      <c r="A40" s="18" t="s">
        <v>138</v>
      </c>
      <c r="B40" s="26"/>
      <c r="C40" s="25"/>
      <c r="D40" s="27"/>
      <c r="E40" s="25"/>
      <c r="F40" s="24"/>
      <c r="G40" s="25"/>
      <c r="H40" s="25"/>
      <c r="I40" s="25"/>
      <c r="J40" s="25"/>
      <c r="K40" s="27"/>
    </row>
    <row r="41" spans="1:11" x14ac:dyDescent="0.35">
      <c r="A41" s="18" t="s">
        <v>139</v>
      </c>
      <c r="B41" s="22"/>
      <c r="C41" s="21"/>
      <c r="D41" s="23"/>
      <c r="E41" s="21"/>
      <c r="F41" s="24"/>
      <c r="G41" s="21"/>
      <c r="H41" s="21"/>
      <c r="I41" s="21"/>
      <c r="J41" s="21"/>
      <c r="K41" s="23"/>
    </row>
    <row r="42" spans="1:11" x14ac:dyDescent="0.35">
      <c r="A42" s="18" t="s">
        <v>140</v>
      </c>
      <c r="B42" s="26"/>
      <c r="C42" s="25"/>
      <c r="D42" s="27"/>
      <c r="E42" s="25"/>
      <c r="F42" s="24"/>
      <c r="G42" s="25"/>
      <c r="H42" s="25"/>
      <c r="I42" s="25"/>
      <c r="J42" s="25"/>
      <c r="K42" s="27"/>
    </row>
    <row r="43" spans="1:11" x14ac:dyDescent="0.35">
      <c r="A43" s="18" t="s">
        <v>141</v>
      </c>
      <c r="B43" s="22"/>
      <c r="C43" s="21"/>
      <c r="D43" s="23"/>
      <c r="E43" s="21"/>
      <c r="F43" s="24"/>
      <c r="G43" s="21"/>
      <c r="H43" s="21"/>
      <c r="I43" s="21"/>
      <c r="J43" s="21"/>
      <c r="K43" s="23"/>
    </row>
    <row r="44" spans="1:11" ht="19.5" customHeight="1" x14ac:dyDescent="0.35">
      <c r="A44" s="2"/>
      <c r="B44" s="2"/>
      <c r="C44" s="2"/>
      <c r="D44" s="2"/>
      <c r="E44" s="2"/>
      <c r="F44" s="30">
        <f>SUM(F4:F43)</f>
        <v>41.68</v>
      </c>
      <c r="G44" s="29"/>
      <c r="H44" s="29"/>
      <c r="I44" s="29"/>
      <c r="J44" s="29"/>
      <c r="K44" s="29"/>
    </row>
  </sheetData>
  <autoFilter ref="A3:K43" xr:uid="{00000000-0009-0000-0000-000002000000}"/>
  <mergeCells count="3">
    <mergeCell ref="A1:K1"/>
    <mergeCell ref="A2:K2"/>
    <mergeCell ref="A44:E44"/>
  </mergeCells>
  <phoneticPr fontId="9" type="noConversion"/>
  <conditionalFormatting sqref="I4:I43">
    <cfRule type="expression" dxfId="20" priority="2">
      <formula>I4="Paid"</formula>
    </cfRule>
    <cfRule type="expression" dxfId="19" priority="3">
      <formula>I4="Pending"</formula>
    </cfRule>
    <cfRule type="expression" dxfId="18" priority="4">
      <formula>I4="Reimbursed"</formula>
    </cfRule>
    <cfRule type="expression" dxfId="17" priority="5">
      <formula>I4="Cancelled"</formula>
    </cfRule>
  </conditionalFormatting>
  <dataValidations count="4">
    <dataValidation type="list" allowBlank="1" sqref="C4:C43" xr:uid="{00000000-0002-0000-0200-000000000000}">
      <formula1>"Hardware Components,Prototyping &amp; 3D Printing,AI/Compute &amp; Cloud,Software &amp; Tools,Datasets &amp; Labeling,Legal &amp; Admin,Marketing &amp; Outreach,Travel,Office &amp; Misc,Other"</formula1>
      <formula2>0</formula2>
    </dataValidation>
    <dataValidation type="list" allowBlank="1" sqref="G4:G43" xr:uid="{00000000-0002-0000-0200-000002000000}">
      <formula1>"Company Card,Bank Transfer,Founder Reimbursement,Cash,Other"</formula1>
      <formula2>0</formula2>
    </dataValidation>
    <dataValidation type="list" allowBlank="1" sqref="H4:H43" xr:uid="{00000000-0002-0000-0200-000003000000}">
      <formula1>"Founder A,Founder B,Company Account"</formula1>
      <formula2>0</formula2>
    </dataValidation>
    <dataValidation type="list" allowBlank="1" sqref="I4:I43" xr:uid="{00000000-0002-0000-0200-000004000000}">
      <formula1>"Paid,Pending,Reimbursed,Cancelled"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zoomScaleNormal="100" workbookViewId="0">
      <pane ySplit="3" topLeftCell="A4" activePane="bottomLeft" state="frozen"/>
      <selection pane="bottomLeft" sqref="A1:F1"/>
    </sheetView>
  </sheetViews>
  <sheetFormatPr defaultColWidth="8.54296875" defaultRowHeight="14.5" x14ac:dyDescent="0.35"/>
  <cols>
    <col min="1" max="1" width="24" customWidth="1"/>
    <col min="2" max="2" width="16" customWidth="1"/>
    <col min="3" max="3" width="18" customWidth="1"/>
    <col min="4" max="6" width="16" customWidth="1"/>
  </cols>
  <sheetData>
    <row r="1" spans="1:6" ht="33.75" customHeight="1" x14ac:dyDescent="0.35">
      <c r="A1" s="9" t="s">
        <v>53</v>
      </c>
      <c r="B1" s="9"/>
      <c r="C1" s="9"/>
      <c r="D1" s="9"/>
      <c r="E1" s="9"/>
      <c r="F1" s="9"/>
    </row>
    <row r="2" spans="1:6" ht="15.75" customHeight="1" x14ac:dyDescent="0.35">
      <c r="A2" s="8" t="s">
        <v>54</v>
      </c>
      <c r="B2" s="8"/>
      <c r="C2" s="8"/>
      <c r="D2" s="8"/>
      <c r="E2" s="8"/>
      <c r="F2" s="8"/>
    </row>
    <row r="3" spans="1:6" ht="30" customHeight="1" x14ac:dyDescent="0.35">
      <c r="A3" s="17" t="s">
        <v>37</v>
      </c>
      <c r="B3" s="17" t="s">
        <v>55</v>
      </c>
      <c r="C3" s="17" t="s">
        <v>56</v>
      </c>
      <c r="D3" s="17" t="s">
        <v>57</v>
      </c>
      <c r="E3" s="17" t="s">
        <v>58</v>
      </c>
      <c r="F3" s="17" t="s">
        <v>43</v>
      </c>
    </row>
    <row r="4" spans="1:6" x14ac:dyDescent="0.35">
      <c r="A4" s="25" t="s">
        <v>47</v>
      </c>
      <c r="B4" s="31">
        <v>0</v>
      </c>
      <c r="C4" s="28">
        <f>SUMIFS('Expenditure Registry'!$F$4:$F$43,'Expenditure Registry'!$C$4:$C$43,A4)</f>
        <v>19.899999999999999</v>
      </c>
      <c r="D4" s="28">
        <f t="shared" ref="D4:D14" si="0">B4-C4</f>
        <v>-19.899999999999999</v>
      </c>
      <c r="E4" s="32" t="str">
        <f t="shared" ref="E4:E14" si="1">IF(B4=0,"",C4/B4)</f>
        <v/>
      </c>
      <c r="F4" s="25" t="str">
        <f t="shared" ref="F4:F13" si="2">IF(B4=0,"No Budget Set",IF(C4/B4&gt;1,"Over Budget",IF(C4/B4&gt;0.85,"Near Limit","On Track")))</f>
        <v>No Budget Set</v>
      </c>
    </row>
    <row r="5" spans="1:6" x14ac:dyDescent="0.35">
      <c r="A5" s="21" t="s">
        <v>59</v>
      </c>
      <c r="B5" s="31">
        <v>0</v>
      </c>
      <c r="C5" s="24">
        <f>SUMIFS('Expenditure Registry'!$F$4:$F$43,'Expenditure Registry'!$C$4:$C$43,A5)</f>
        <v>0</v>
      </c>
      <c r="D5" s="24">
        <f t="shared" si="0"/>
        <v>0</v>
      </c>
      <c r="E5" s="33" t="str">
        <f t="shared" si="1"/>
        <v/>
      </c>
      <c r="F5" s="21" t="str">
        <f t="shared" si="2"/>
        <v>No Budget Set</v>
      </c>
    </row>
    <row r="6" spans="1:6" x14ac:dyDescent="0.35">
      <c r="A6" s="25" t="s">
        <v>60</v>
      </c>
      <c r="B6" s="31">
        <v>0</v>
      </c>
      <c r="C6" s="28">
        <f>SUMIFS('Expenditure Registry'!$F$4:$F$43,'Expenditure Registry'!$C$4:$C$43,A6)</f>
        <v>21.78</v>
      </c>
      <c r="D6" s="28">
        <f t="shared" si="0"/>
        <v>-21.78</v>
      </c>
      <c r="E6" s="32" t="str">
        <f t="shared" si="1"/>
        <v/>
      </c>
      <c r="F6" s="25" t="str">
        <f t="shared" si="2"/>
        <v>No Budget Set</v>
      </c>
    </row>
    <row r="7" spans="1:6" x14ac:dyDescent="0.35">
      <c r="A7" s="21" t="s">
        <v>61</v>
      </c>
      <c r="B7" s="31">
        <v>0</v>
      </c>
      <c r="C7" s="24">
        <f>SUMIFS('Expenditure Registry'!$F$4:$F$43,'Expenditure Registry'!$C$4:$C$43,A7)</f>
        <v>0</v>
      </c>
      <c r="D7" s="24">
        <f t="shared" si="0"/>
        <v>0</v>
      </c>
      <c r="E7" s="33" t="str">
        <f t="shared" si="1"/>
        <v/>
      </c>
      <c r="F7" s="21" t="str">
        <f t="shared" si="2"/>
        <v>No Budget Set</v>
      </c>
    </row>
    <row r="8" spans="1:6" x14ac:dyDescent="0.35">
      <c r="A8" s="25" t="s">
        <v>62</v>
      </c>
      <c r="B8" s="31">
        <v>0</v>
      </c>
      <c r="C8" s="28">
        <f>SUMIFS('Expenditure Registry'!$F$4:$F$43,'Expenditure Registry'!$C$4:$C$43,A8)</f>
        <v>0</v>
      </c>
      <c r="D8" s="28">
        <f t="shared" si="0"/>
        <v>0</v>
      </c>
      <c r="E8" s="32" t="str">
        <f t="shared" si="1"/>
        <v/>
      </c>
      <c r="F8" s="25" t="str">
        <f t="shared" si="2"/>
        <v>No Budget Set</v>
      </c>
    </row>
    <row r="9" spans="1:6" x14ac:dyDescent="0.35">
      <c r="A9" s="21" t="s">
        <v>63</v>
      </c>
      <c r="B9" s="31">
        <v>0</v>
      </c>
      <c r="C9" s="24">
        <f>SUMIFS('Expenditure Registry'!$F$4:$F$43,'Expenditure Registry'!$C$4:$C$43,A9)</f>
        <v>0</v>
      </c>
      <c r="D9" s="24">
        <f t="shared" si="0"/>
        <v>0</v>
      </c>
      <c r="E9" s="33" t="str">
        <f t="shared" si="1"/>
        <v/>
      </c>
      <c r="F9" s="21" t="str">
        <f t="shared" si="2"/>
        <v>No Budget Set</v>
      </c>
    </row>
    <row r="10" spans="1:6" x14ac:dyDescent="0.35">
      <c r="A10" s="25" t="s">
        <v>64</v>
      </c>
      <c r="B10" s="31">
        <v>0</v>
      </c>
      <c r="C10" s="28">
        <f>SUMIFS('Expenditure Registry'!$F$4:$F$43,'Expenditure Registry'!$C$4:$C$43,A10)</f>
        <v>0</v>
      </c>
      <c r="D10" s="28">
        <f t="shared" si="0"/>
        <v>0</v>
      </c>
      <c r="E10" s="32" t="str">
        <f t="shared" si="1"/>
        <v/>
      </c>
      <c r="F10" s="25" t="str">
        <f t="shared" si="2"/>
        <v>No Budget Set</v>
      </c>
    </row>
    <row r="11" spans="1:6" x14ac:dyDescent="0.35">
      <c r="A11" s="21" t="s">
        <v>65</v>
      </c>
      <c r="B11" s="31">
        <v>0</v>
      </c>
      <c r="C11" s="24">
        <f>SUMIFS('Expenditure Registry'!$F$4:$F$43,'Expenditure Registry'!$C$4:$C$43,A11)</f>
        <v>0</v>
      </c>
      <c r="D11" s="24">
        <f t="shared" si="0"/>
        <v>0</v>
      </c>
      <c r="E11" s="33" t="str">
        <f t="shared" si="1"/>
        <v/>
      </c>
      <c r="F11" s="21" t="str">
        <f t="shared" si="2"/>
        <v>No Budget Set</v>
      </c>
    </row>
    <row r="12" spans="1:6" x14ac:dyDescent="0.35">
      <c r="A12" s="25" t="s">
        <v>66</v>
      </c>
      <c r="B12" s="31">
        <v>0</v>
      </c>
      <c r="C12" s="28">
        <f>SUMIFS('Expenditure Registry'!$F$4:$F$43,'Expenditure Registry'!$C$4:$C$43,A12)</f>
        <v>0</v>
      </c>
      <c r="D12" s="28">
        <f t="shared" si="0"/>
        <v>0</v>
      </c>
      <c r="E12" s="32" t="str">
        <f t="shared" si="1"/>
        <v/>
      </c>
      <c r="F12" s="25" t="str">
        <f t="shared" si="2"/>
        <v>No Budget Set</v>
      </c>
    </row>
    <row r="13" spans="1:6" x14ac:dyDescent="0.35">
      <c r="A13" s="21" t="s">
        <v>67</v>
      </c>
      <c r="B13" s="31">
        <v>0</v>
      </c>
      <c r="C13" s="24">
        <f>SUMIFS('Expenditure Registry'!$F$4:$F$43,'Expenditure Registry'!$C$4:$C$43,A13)</f>
        <v>0</v>
      </c>
      <c r="D13" s="24">
        <f t="shared" si="0"/>
        <v>0</v>
      </c>
      <c r="E13" s="33" t="str">
        <f t="shared" si="1"/>
        <v/>
      </c>
      <c r="F13" s="21" t="str">
        <f t="shared" si="2"/>
        <v>No Budget Set</v>
      </c>
    </row>
    <row r="14" spans="1:6" ht="19.5" customHeight="1" x14ac:dyDescent="0.35">
      <c r="A14" s="34" t="s">
        <v>68</v>
      </c>
      <c r="B14" s="30">
        <f>SUM(B4:B13)</f>
        <v>0</v>
      </c>
      <c r="C14" s="30">
        <f>SUM(C4:C13)</f>
        <v>41.68</v>
      </c>
      <c r="D14" s="30">
        <f t="shared" si="0"/>
        <v>-41.68</v>
      </c>
      <c r="E14" s="35" t="str">
        <f t="shared" si="1"/>
        <v/>
      </c>
      <c r="F14" s="29"/>
    </row>
    <row r="16" spans="1:6" x14ac:dyDescent="0.35">
      <c r="A16" s="1" t="s">
        <v>69</v>
      </c>
      <c r="B16" s="1"/>
      <c r="C16" s="1"/>
      <c r="D16" s="1"/>
      <c r="E16" s="1"/>
      <c r="F16" s="1"/>
    </row>
  </sheetData>
  <mergeCells count="3">
    <mergeCell ref="A1:F1"/>
    <mergeCell ref="A2:F2"/>
    <mergeCell ref="A16:F16"/>
  </mergeCells>
  <conditionalFormatting sqref="F4:F13">
    <cfRule type="expression" dxfId="16" priority="2">
      <formula>F4="On Track"</formula>
    </cfRule>
    <cfRule type="expression" dxfId="15" priority="3">
      <formula>F4="Near Limit"</formula>
    </cfRule>
    <cfRule type="expression" dxfId="14" priority="4">
      <formula>F4="Over Budget"</formula>
    </cfRule>
    <cfRule type="expression" dxfId="13" priority="5">
      <formula>F4="No Budget Set"</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3"/>
  <sheetViews>
    <sheetView showGridLines="0" zoomScaleNormal="100" workbookViewId="0">
      <pane ySplit="3" topLeftCell="A8" activePane="bottomLeft" state="frozen"/>
      <selection pane="bottomLeft" activeCell="E4" sqref="E4"/>
    </sheetView>
  </sheetViews>
  <sheetFormatPr defaultColWidth="8.54296875" defaultRowHeight="14.5" x14ac:dyDescent="0.35"/>
  <cols>
    <col min="1" max="1" width="7" customWidth="1"/>
    <col min="2" max="2" width="12" customWidth="1"/>
    <col min="3" max="3" width="8" customWidth="1"/>
    <col min="4" max="4" width="16" customWidth="1"/>
    <col min="5" max="5" width="20" customWidth="1"/>
    <col min="6" max="6" width="38.81640625" bestFit="1" customWidth="1"/>
    <col min="7" max="7" width="34" customWidth="1"/>
    <col min="8" max="8" width="16" customWidth="1"/>
    <col min="9" max="9" width="12" customWidth="1"/>
    <col min="10" max="10" width="26" customWidth="1"/>
  </cols>
  <sheetData>
    <row r="1" spans="1:10" ht="33.75" customHeight="1" x14ac:dyDescent="0.35">
      <c r="A1" s="9" t="s">
        <v>70</v>
      </c>
      <c r="B1" s="9"/>
      <c r="C1" s="9"/>
      <c r="D1" s="9"/>
      <c r="E1" s="9"/>
      <c r="F1" s="9"/>
      <c r="G1" s="9"/>
      <c r="H1" s="9"/>
      <c r="I1" s="9"/>
      <c r="J1" s="9"/>
    </row>
    <row r="2" spans="1:10" ht="15.75" customHeight="1" x14ac:dyDescent="0.35">
      <c r="A2" s="8" t="s">
        <v>71</v>
      </c>
      <c r="B2" s="8"/>
      <c r="C2" s="8"/>
      <c r="D2" s="8"/>
      <c r="E2" s="8"/>
      <c r="F2" s="8"/>
      <c r="G2" s="8"/>
      <c r="H2" s="8"/>
      <c r="I2" s="8"/>
      <c r="J2" s="8"/>
    </row>
    <row r="3" spans="1:10" ht="30" customHeight="1" x14ac:dyDescent="0.35">
      <c r="A3" s="17" t="s">
        <v>35</v>
      </c>
      <c r="B3" s="17" t="s">
        <v>36</v>
      </c>
      <c r="C3" s="17" t="s">
        <v>72</v>
      </c>
      <c r="D3" s="17" t="s">
        <v>73</v>
      </c>
      <c r="E3" s="17" t="s">
        <v>74</v>
      </c>
      <c r="F3" s="17" t="s">
        <v>75</v>
      </c>
      <c r="G3" s="17" t="s">
        <v>76</v>
      </c>
      <c r="H3" s="17" t="s">
        <v>77</v>
      </c>
      <c r="I3" s="17" t="s">
        <v>43</v>
      </c>
      <c r="J3" s="17" t="s">
        <v>45</v>
      </c>
    </row>
    <row r="4" spans="1:10" ht="30" customHeight="1" x14ac:dyDescent="0.35">
      <c r="A4" s="18" t="s">
        <v>78</v>
      </c>
      <c r="B4" s="19" t="s">
        <v>79</v>
      </c>
      <c r="C4" s="18" t="s">
        <v>80</v>
      </c>
      <c r="D4" s="18" t="s">
        <v>81</v>
      </c>
      <c r="E4" s="18" t="s">
        <v>82</v>
      </c>
      <c r="F4" s="20" t="s">
        <v>83</v>
      </c>
      <c r="G4" s="20" t="s">
        <v>84</v>
      </c>
      <c r="H4" s="18" t="s">
        <v>85</v>
      </c>
      <c r="I4" s="18" t="s">
        <v>86</v>
      </c>
      <c r="J4" s="20" t="s">
        <v>87</v>
      </c>
    </row>
    <row r="5" spans="1:10" x14ac:dyDescent="0.35">
      <c r="A5" s="21"/>
      <c r="B5" s="22"/>
      <c r="C5" s="21"/>
      <c r="D5" s="21"/>
      <c r="E5" s="21"/>
      <c r="F5" s="23"/>
      <c r="G5" s="23"/>
      <c r="H5" s="21"/>
      <c r="I5" s="21"/>
      <c r="J5" s="23"/>
    </row>
    <row r="6" spans="1:10" x14ac:dyDescent="0.35">
      <c r="A6" s="25"/>
      <c r="B6" s="26"/>
      <c r="C6" s="25"/>
      <c r="D6" s="25"/>
      <c r="E6" s="25"/>
      <c r="F6" s="27"/>
      <c r="G6" s="27"/>
      <c r="H6" s="25"/>
      <c r="I6" s="25"/>
      <c r="J6" s="27"/>
    </row>
    <row r="7" spans="1:10" x14ac:dyDescent="0.35">
      <c r="A7" s="21"/>
      <c r="B7" s="22"/>
      <c r="C7" s="21"/>
      <c r="D7" s="21"/>
      <c r="E7" s="21"/>
      <c r="F7" s="23"/>
      <c r="G7" s="23"/>
      <c r="H7" s="21"/>
      <c r="I7" s="21"/>
      <c r="J7" s="23"/>
    </row>
    <row r="8" spans="1:10" x14ac:dyDescent="0.35">
      <c r="A8" s="25"/>
      <c r="B8" s="26"/>
      <c r="C8" s="25"/>
      <c r="D8" s="25"/>
      <c r="E8" s="25"/>
      <c r="F8" s="27"/>
      <c r="G8" s="27"/>
      <c r="H8" s="25"/>
      <c r="I8" s="25"/>
      <c r="J8" s="27"/>
    </row>
    <row r="9" spans="1:10" x14ac:dyDescent="0.35">
      <c r="A9" s="21"/>
      <c r="B9" s="22"/>
      <c r="C9" s="21"/>
      <c r="D9" s="21"/>
      <c r="E9" s="21"/>
      <c r="F9" s="23"/>
      <c r="G9" s="23"/>
      <c r="H9" s="21"/>
      <c r="I9" s="21"/>
      <c r="J9" s="23"/>
    </row>
    <row r="10" spans="1:10" x14ac:dyDescent="0.35">
      <c r="A10" s="25"/>
      <c r="B10" s="26"/>
      <c r="C10" s="25"/>
      <c r="D10" s="25"/>
      <c r="E10" s="25"/>
      <c r="F10" s="27"/>
      <c r="G10" s="27"/>
      <c r="H10" s="25"/>
      <c r="I10" s="25"/>
      <c r="J10" s="27"/>
    </row>
    <row r="11" spans="1:10" x14ac:dyDescent="0.35">
      <c r="A11" s="21"/>
      <c r="B11" s="22"/>
      <c r="C11" s="21"/>
      <c r="D11" s="21"/>
      <c r="E11" s="21"/>
      <c r="F11" s="23"/>
      <c r="G11" s="23"/>
      <c r="H11" s="21"/>
      <c r="I11" s="21"/>
      <c r="J11" s="23"/>
    </row>
    <row r="12" spans="1:10" x14ac:dyDescent="0.35">
      <c r="A12" s="25"/>
      <c r="B12" s="26"/>
      <c r="C12" s="25"/>
      <c r="D12" s="25"/>
      <c r="E12" s="25"/>
      <c r="F12" s="27"/>
      <c r="G12" s="27"/>
      <c r="H12" s="25"/>
      <c r="I12" s="25"/>
      <c r="J12" s="27"/>
    </row>
    <row r="13" spans="1:10" x14ac:dyDescent="0.35">
      <c r="A13" s="21"/>
      <c r="B13" s="22"/>
      <c r="C13" s="21"/>
      <c r="D13" s="21"/>
      <c r="E13" s="21"/>
      <c r="F13" s="23"/>
      <c r="G13" s="23"/>
      <c r="H13" s="21"/>
      <c r="I13" s="21"/>
      <c r="J13" s="23"/>
    </row>
    <row r="14" spans="1:10" x14ac:dyDescent="0.35">
      <c r="A14" s="25"/>
      <c r="B14" s="26"/>
      <c r="C14" s="25"/>
      <c r="D14" s="25"/>
      <c r="E14" s="25"/>
      <c r="F14" s="27"/>
      <c r="G14" s="27"/>
      <c r="H14" s="25"/>
      <c r="I14" s="25"/>
      <c r="J14" s="27"/>
    </row>
    <row r="15" spans="1:10" x14ac:dyDescent="0.35">
      <c r="A15" s="21"/>
      <c r="B15" s="22"/>
      <c r="C15" s="21"/>
      <c r="D15" s="21"/>
      <c r="E15" s="21"/>
      <c r="F15" s="23"/>
      <c r="G15" s="23"/>
      <c r="H15" s="21"/>
      <c r="I15" s="21"/>
      <c r="J15" s="23"/>
    </row>
    <row r="16" spans="1:10" x14ac:dyDescent="0.35">
      <c r="A16" s="25"/>
      <c r="B16" s="26"/>
      <c r="C16" s="25"/>
      <c r="D16" s="25"/>
      <c r="E16" s="25"/>
      <c r="F16" s="27"/>
      <c r="G16" s="27"/>
      <c r="H16" s="25"/>
      <c r="I16" s="25"/>
      <c r="J16" s="27"/>
    </row>
    <row r="17" spans="1:10" x14ac:dyDescent="0.35">
      <c r="A17" s="21"/>
      <c r="B17" s="22"/>
      <c r="C17" s="21"/>
      <c r="D17" s="21"/>
      <c r="E17" s="21"/>
      <c r="F17" s="23"/>
      <c r="G17" s="23"/>
      <c r="H17" s="21"/>
      <c r="I17" s="21"/>
      <c r="J17" s="23"/>
    </row>
    <row r="18" spans="1:10" x14ac:dyDescent="0.35">
      <c r="A18" s="25"/>
      <c r="B18" s="26"/>
      <c r="C18" s="25"/>
      <c r="D18" s="25"/>
      <c r="E18" s="25"/>
      <c r="F18" s="27"/>
      <c r="G18" s="27"/>
      <c r="H18" s="25"/>
      <c r="I18" s="25"/>
      <c r="J18" s="27"/>
    </row>
    <row r="19" spans="1:10" x14ac:dyDescent="0.35">
      <c r="A19" s="21"/>
      <c r="B19" s="22"/>
      <c r="C19" s="21"/>
      <c r="D19" s="21"/>
      <c r="E19" s="21"/>
      <c r="F19" s="23"/>
      <c r="G19" s="23"/>
      <c r="H19" s="21"/>
      <c r="I19" s="21"/>
      <c r="J19" s="23"/>
    </row>
    <row r="20" spans="1:10" x14ac:dyDescent="0.35">
      <c r="A20" s="25"/>
      <c r="B20" s="26"/>
      <c r="C20" s="25"/>
      <c r="D20" s="25"/>
      <c r="E20" s="25"/>
      <c r="F20" s="27"/>
      <c r="G20" s="27"/>
      <c r="H20" s="25"/>
      <c r="I20" s="25"/>
      <c r="J20" s="27"/>
    </row>
    <row r="21" spans="1:10" x14ac:dyDescent="0.35">
      <c r="A21" s="21"/>
      <c r="B21" s="22"/>
      <c r="C21" s="21"/>
      <c r="D21" s="21"/>
      <c r="E21" s="21"/>
      <c r="F21" s="23"/>
      <c r="G21" s="23"/>
      <c r="H21" s="21"/>
      <c r="I21" s="21"/>
      <c r="J21" s="23"/>
    </row>
    <row r="22" spans="1:10" x14ac:dyDescent="0.35">
      <c r="A22" s="25"/>
      <c r="B22" s="26"/>
      <c r="C22" s="25"/>
      <c r="D22" s="25"/>
      <c r="E22" s="25"/>
      <c r="F22" s="27"/>
      <c r="G22" s="27"/>
      <c r="H22" s="25"/>
      <c r="I22" s="25"/>
      <c r="J22" s="27"/>
    </row>
    <row r="23" spans="1:10" x14ac:dyDescent="0.35">
      <c r="A23" s="21"/>
      <c r="B23" s="22"/>
      <c r="C23" s="21"/>
      <c r="D23" s="21"/>
      <c r="E23" s="21"/>
      <c r="F23" s="23"/>
      <c r="G23" s="23"/>
      <c r="H23" s="21"/>
      <c r="I23" s="21"/>
      <c r="J23" s="23"/>
    </row>
    <row r="24" spans="1:10" x14ac:dyDescent="0.35">
      <c r="A24" s="25"/>
      <c r="B24" s="26"/>
      <c r="C24" s="25"/>
      <c r="D24" s="25"/>
      <c r="E24" s="25"/>
      <c r="F24" s="27"/>
      <c r="G24" s="27"/>
      <c r="H24" s="25"/>
      <c r="I24" s="25"/>
      <c r="J24" s="27"/>
    </row>
    <row r="25" spans="1:10" x14ac:dyDescent="0.35">
      <c r="A25" s="21"/>
      <c r="B25" s="22"/>
      <c r="C25" s="21"/>
      <c r="D25" s="21"/>
      <c r="E25" s="21"/>
      <c r="F25" s="23"/>
      <c r="G25" s="23"/>
      <c r="H25" s="21"/>
      <c r="I25" s="21"/>
      <c r="J25" s="23"/>
    </row>
    <row r="26" spans="1:10" x14ac:dyDescent="0.35">
      <c r="A26" s="25"/>
      <c r="B26" s="26"/>
      <c r="C26" s="25"/>
      <c r="D26" s="25"/>
      <c r="E26" s="25"/>
      <c r="F26" s="27"/>
      <c r="G26" s="27"/>
      <c r="H26" s="25"/>
      <c r="I26" s="25"/>
      <c r="J26" s="27"/>
    </row>
    <row r="27" spans="1:10" x14ac:dyDescent="0.35">
      <c r="A27" s="21"/>
      <c r="B27" s="22"/>
      <c r="C27" s="21"/>
      <c r="D27" s="21"/>
      <c r="E27" s="21"/>
      <c r="F27" s="23"/>
      <c r="G27" s="23"/>
      <c r="H27" s="21"/>
      <c r="I27" s="21"/>
      <c r="J27" s="23"/>
    </row>
    <row r="28" spans="1:10" x14ac:dyDescent="0.35">
      <c r="A28" s="25"/>
      <c r="B28" s="26"/>
      <c r="C28" s="25"/>
      <c r="D28" s="25"/>
      <c r="E28" s="25"/>
      <c r="F28" s="27"/>
      <c r="G28" s="27"/>
      <c r="H28" s="25"/>
      <c r="I28" s="25"/>
      <c r="J28" s="27"/>
    </row>
    <row r="29" spans="1:10" x14ac:dyDescent="0.35">
      <c r="A29" s="21"/>
      <c r="B29" s="22"/>
      <c r="C29" s="21"/>
      <c r="D29" s="21"/>
      <c r="E29" s="21"/>
      <c r="F29" s="23"/>
      <c r="G29" s="23"/>
      <c r="H29" s="21"/>
      <c r="I29" s="21"/>
      <c r="J29" s="23"/>
    </row>
    <row r="30" spans="1:10" x14ac:dyDescent="0.35">
      <c r="A30" s="25"/>
      <c r="B30" s="26"/>
      <c r="C30" s="25"/>
      <c r="D30" s="25"/>
      <c r="E30" s="25"/>
      <c r="F30" s="27"/>
      <c r="G30" s="27"/>
      <c r="H30" s="25"/>
      <c r="I30" s="25"/>
      <c r="J30" s="27"/>
    </row>
    <row r="31" spans="1:10" x14ac:dyDescent="0.35">
      <c r="A31" s="21"/>
      <c r="B31" s="22"/>
      <c r="C31" s="21"/>
      <c r="D31" s="21"/>
      <c r="E31" s="21"/>
      <c r="F31" s="23"/>
      <c r="G31" s="23"/>
      <c r="H31" s="21"/>
      <c r="I31" s="21"/>
      <c r="J31" s="23"/>
    </row>
    <row r="32" spans="1:10" x14ac:dyDescent="0.35">
      <c r="A32" s="25"/>
      <c r="B32" s="26"/>
      <c r="C32" s="25"/>
      <c r="D32" s="25"/>
      <c r="E32" s="25"/>
      <c r="F32" s="27"/>
      <c r="G32" s="27"/>
      <c r="H32" s="25"/>
      <c r="I32" s="25"/>
      <c r="J32" s="27"/>
    </row>
    <row r="33" spans="1:10" x14ac:dyDescent="0.35">
      <c r="A33" s="21"/>
      <c r="B33" s="22"/>
      <c r="C33" s="21"/>
      <c r="D33" s="21"/>
      <c r="E33" s="21"/>
      <c r="F33" s="23"/>
      <c r="G33" s="23"/>
      <c r="H33" s="21"/>
      <c r="I33" s="21"/>
      <c r="J33" s="23"/>
    </row>
  </sheetData>
  <autoFilter ref="A3:J33" xr:uid="{00000000-0009-0000-0000-000004000000}"/>
  <mergeCells count="2">
    <mergeCell ref="A1:J1"/>
    <mergeCell ref="A2:J2"/>
  </mergeCells>
  <conditionalFormatting sqref="I4:I33">
    <cfRule type="expression" dxfId="12" priority="2">
      <formula>I4="Completed"</formula>
    </cfRule>
    <cfRule type="expression" dxfId="11" priority="3">
      <formula>I4="Scheduled"</formula>
    </cfRule>
    <cfRule type="expression" dxfId="10" priority="4">
      <formula>I4="Postponed"</formula>
    </cfRule>
    <cfRule type="expression" dxfId="9" priority="5">
      <formula>I4="Cancelled"</formula>
    </cfRule>
  </conditionalFormatting>
  <dataValidations count="2">
    <dataValidation type="list" allowBlank="1" sqref="D4:D33" xr:uid="{00000000-0002-0000-0400-000000000000}">
      <formula1>"Weekly Sync,Planning,Technical Review,Investor / Advisor,Vendor / Supplier,Other"</formula1>
      <formula2>0</formula2>
    </dataValidation>
    <dataValidation type="list" allowBlank="1" sqref="I4:I33" xr:uid="{00000000-0002-0000-0400-000001000000}">
      <formula1>"Scheduled,Completed,Cancelled,Postponed"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showGridLines="0" zoomScaleNormal="100" workbookViewId="0">
      <pane ySplit="3" topLeftCell="A4" activePane="bottomLeft" state="frozen"/>
      <selection pane="bottomLeft" sqref="A1:I1"/>
    </sheetView>
  </sheetViews>
  <sheetFormatPr defaultColWidth="8.54296875" defaultRowHeight="14.5" x14ac:dyDescent="0.35"/>
  <cols>
    <col min="1" max="1" width="7" customWidth="1"/>
    <col min="2" max="2" width="16" customWidth="1"/>
    <col min="3" max="3" width="12" customWidth="1"/>
    <col min="4" max="4" width="38.1796875" bestFit="1" customWidth="1"/>
    <col min="5" max="5" width="12" customWidth="1"/>
    <col min="6" max="6" width="10" customWidth="1"/>
    <col min="7" max="7" width="12" customWidth="1"/>
    <col min="8" max="8" width="14" customWidth="1"/>
    <col min="9" max="9" width="26" customWidth="1"/>
  </cols>
  <sheetData>
    <row r="1" spans="1:9" ht="33.75" customHeight="1" x14ac:dyDescent="0.35">
      <c r="A1" s="9" t="s">
        <v>88</v>
      </c>
      <c r="B1" s="9"/>
      <c r="C1" s="9"/>
      <c r="D1" s="9"/>
      <c r="E1" s="9"/>
      <c r="F1" s="9"/>
      <c r="G1" s="9"/>
      <c r="H1" s="9"/>
      <c r="I1" s="9"/>
    </row>
    <row r="2" spans="1:9" ht="15.75" customHeight="1" x14ac:dyDescent="0.35">
      <c r="A2" s="8" t="s">
        <v>89</v>
      </c>
      <c r="B2" s="8"/>
      <c r="C2" s="8"/>
      <c r="D2" s="8"/>
      <c r="E2" s="8"/>
      <c r="F2" s="8"/>
      <c r="G2" s="8"/>
      <c r="H2" s="8"/>
      <c r="I2" s="8"/>
    </row>
    <row r="3" spans="1:9" ht="30" customHeight="1" x14ac:dyDescent="0.35">
      <c r="A3" s="17" t="s">
        <v>35</v>
      </c>
      <c r="B3" s="17" t="s">
        <v>90</v>
      </c>
      <c r="C3" s="17" t="s">
        <v>91</v>
      </c>
      <c r="D3" s="17" t="s">
        <v>38</v>
      </c>
      <c r="E3" s="17" t="s">
        <v>92</v>
      </c>
      <c r="F3" s="17" t="s">
        <v>93</v>
      </c>
      <c r="G3" s="17" t="s">
        <v>94</v>
      </c>
      <c r="H3" s="17" t="s">
        <v>43</v>
      </c>
      <c r="I3" s="17" t="s">
        <v>45</v>
      </c>
    </row>
    <row r="4" spans="1:9" ht="30" customHeight="1" x14ac:dyDescent="0.35">
      <c r="A4" s="18" t="s">
        <v>95</v>
      </c>
      <c r="B4" s="18" t="s">
        <v>78</v>
      </c>
      <c r="C4" s="19" t="s">
        <v>79</v>
      </c>
      <c r="D4" s="20" t="s">
        <v>96</v>
      </c>
      <c r="E4" s="18" t="s">
        <v>97</v>
      </c>
      <c r="F4" s="18" t="s">
        <v>98</v>
      </c>
      <c r="G4" s="19" t="s">
        <v>99</v>
      </c>
      <c r="H4" s="18" t="s">
        <v>100</v>
      </c>
      <c r="I4" s="20" t="s">
        <v>101</v>
      </c>
    </row>
    <row r="5" spans="1:9" x14ac:dyDescent="0.35">
      <c r="A5" s="21"/>
      <c r="B5" s="21"/>
      <c r="C5" s="22"/>
      <c r="D5" s="23"/>
      <c r="E5" s="21"/>
      <c r="F5" s="21"/>
      <c r="G5" s="22"/>
      <c r="H5" s="21"/>
      <c r="I5" s="23"/>
    </row>
    <row r="6" spans="1:9" x14ac:dyDescent="0.35">
      <c r="A6" s="25"/>
      <c r="B6" s="25"/>
      <c r="C6" s="26"/>
      <c r="D6" s="27"/>
      <c r="E6" s="25"/>
      <c r="F6" s="25"/>
      <c r="G6" s="26"/>
      <c r="H6" s="25"/>
      <c r="I6" s="27"/>
    </row>
    <row r="7" spans="1:9" x14ac:dyDescent="0.35">
      <c r="A7" s="21"/>
      <c r="B7" s="21"/>
      <c r="C7" s="22"/>
      <c r="D7" s="23"/>
      <c r="E7" s="21"/>
      <c r="F7" s="21"/>
      <c r="G7" s="22"/>
      <c r="H7" s="21"/>
      <c r="I7" s="23"/>
    </row>
    <row r="8" spans="1:9" x14ac:dyDescent="0.35">
      <c r="A8" s="25"/>
      <c r="B8" s="25"/>
      <c r="C8" s="26"/>
      <c r="D8" s="27"/>
      <c r="E8" s="25"/>
      <c r="F8" s="25"/>
      <c r="G8" s="26"/>
      <c r="H8" s="25"/>
      <c r="I8" s="27"/>
    </row>
    <row r="9" spans="1:9" x14ac:dyDescent="0.35">
      <c r="A9" s="21"/>
      <c r="B9" s="21"/>
      <c r="C9" s="22"/>
      <c r="D9" s="23"/>
      <c r="E9" s="21"/>
      <c r="F9" s="21"/>
      <c r="G9" s="22"/>
      <c r="H9" s="21"/>
      <c r="I9" s="23"/>
    </row>
    <row r="10" spans="1:9" x14ac:dyDescent="0.35">
      <c r="A10" s="25"/>
      <c r="B10" s="25"/>
      <c r="C10" s="26"/>
      <c r="D10" s="27"/>
      <c r="E10" s="25"/>
      <c r="F10" s="25"/>
      <c r="G10" s="26"/>
      <c r="H10" s="25"/>
      <c r="I10" s="27"/>
    </row>
    <row r="11" spans="1:9" x14ac:dyDescent="0.35">
      <c r="A11" s="21"/>
      <c r="B11" s="21"/>
      <c r="C11" s="22"/>
      <c r="D11" s="23"/>
      <c r="E11" s="21"/>
      <c r="F11" s="21"/>
      <c r="G11" s="22"/>
      <c r="H11" s="21"/>
      <c r="I11" s="23"/>
    </row>
    <row r="12" spans="1:9" x14ac:dyDescent="0.35">
      <c r="A12" s="25"/>
      <c r="B12" s="25"/>
      <c r="C12" s="26"/>
      <c r="D12" s="27"/>
      <c r="E12" s="25"/>
      <c r="F12" s="25"/>
      <c r="G12" s="26"/>
      <c r="H12" s="25"/>
      <c r="I12" s="27"/>
    </row>
    <row r="13" spans="1:9" x14ac:dyDescent="0.35">
      <c r="A13" s="21"/>
      <c r="B13" s="21"/>
      <c r="C13" s="22"/>
      <c r="D13" s="23"/>
      <c r="E13" s="21"/>
      <c r="F13" s="21"/>
      <c r="G13" s="22"/>
      <c r="H13" s="21"/>
      <c r="I13" s="23"/>
    </row>
    <row r="14" spans="1:9" x14ac:dyDescent="0.35">
      <c r="A14" s="25"/>
      <c r="B14" s="25"/>
      <c r="C14" s="26"/>
      <c r="D14" s="27"/>
      <c r="E14" s="25"/>
      <c r="F14" s="25"/>
      <c r="G14" s="26"/>
      <c r="H14" s="25"/>
      <c r="I14" s="27"/>
    </row>
    <row r="15" spans="1:9" x14ac:dyDescent="0.35">
      <c r="A15" s="21"/>
      <c r="B15" s="21"/>
      <c r="C15" s="22"/>
      <c r="D15" s="23"/>
      <c r="E15" s="21"/>
      <c r="F15" s="21"/>
      <c r="G15" s="22"/>
      <c r="H15" s="21"/>
      <c r="I15" s="23"/>
    </row>
    <row r="16" spans="1:9" x14ac:dyDescent="0.35">
      <c r="A16" s="25"/>
      <c r="B16" s="25"/>
      <c r="C16" s="26"/>
      <c r="D16" s="27"/>
      <c r="E16" s="25"/>
      <c r="F16" s="25"/>
      <c r="G16" s="26"/>
      <c r="H16" s="25"/>
      <c r="I16" s="27"/>
    </row>
    <row r="17" spans="1:9" x14ac:dyDescent="0.35">
      <c r="A17" s="21"/>
      <c r="B17" s="21"/>
      <c r="C17" s="22"/>
      <c r="D17" s="23"/>
      <c r="E17" s="21"/>
      <c r="F17" s="21"/>
      <c r="G17" s="22"/>
      <c r="H17" s="21"/>
      <c r="I17" s="23"/>
    </row>
    <row r="18" spans="1:9" x14ac:dyDescent="0.35">
      <c r="A18" s="25"/>
      <c r="B18" s="25"/>
      <c r="C18" s="26"/>
      <c r="D18" s="27"/>
      <c r="E18" s="25"/>
      <c r="F18" s="25"/>
      <c r="G18" s="26"/>
      <c r="H18" s="25"/>
      <c r="I18" s="27"/>
    </row>
    <row r="19" spans="1:9" x14ac:dyDescent="0.35">
      <c r="A19" s="21"/>
      <c r="B19" s="21"/>
      <c r="C19" s="22"/>
      <c r="D19" s="23"/>
      <c r="E19" s="21"/>
      <c r="F19" s="21"/>
      <c r="G19" s="22"/>
      <c r="H19" s="21"/>
      <c r="I19" s="23"/>
    </row>
    <row r="20" spans="1:9" x14ac:dyDescent="0.35">
      <c r="A20" s="25"/>
      <c r="B20" s="25"/>
      <c r="C20" s="26"/>
      <c r="D20" s="27"/>
      <c r="E20" s="25"/>
      <c r="F20" s="25"/>
      <c r="G20" s="26"/>
      <c r="H20" s="25"/>
      <c r="I20" s="27"/>
    </row>
    <row r="21" spans="1:9" x14ac:dyDescent="0.35">
      <c r="A21" s="21"/>
      <c r="B21" s="21"/>
      <c r="C21" s="22"/>
      <c r="D21" s="23"/>
      <c r="E21" s="21"/>
      <c r="F21" s="21"/>
      <c r="G21" s="22"/>
      <c r="H21" s="21"/>
      <c r="I21" s="23"/>
    </row>
    <row r="22" spans="1:9" x14ac:dyDescent="0.35">
      <c r="A22" s="25"/>
      <c r="B22" s="25"/>
      <c r="C22" s="26"/>
      <c r="D22" s="27"/>
      <c r="E22" s="25"/>
      <c r="F22" s="25"/>
      <c r="G22" s="26"/>
      <c r="H22" s="25"/>
      <c r="I22" s="27"/>
    </row>
    <row r="23" spans="1:9" x14ac:dyDescent="0.35">
      <c r="A23" s="21"/>
      <c r="B23" s="21"/>
      <c r="C23" s="22"/>
      <c r="D23" s="23"/>
      <c r="E23" s="21"/>
      <c r="F23" s="21"/>
      <c r="G23" s="22"/>
      <c r="H23" s="21"/>
      <c r="I23" s="23"/>
    </row>
    <row r="24" spans="1:9" x14ac:dyDescent="0.35">
      <c r="A24" s="25"/>
      <c r="B24" s="25"/>
      <c r="C24" s="26"/>
      <c r="D24" s="27"/>
      <c r="E24" s="25"/>
      <c r="F24" s="25"/>
      <c r="G24" s="26"/>
      <c r="H24" s="25"/>
      <c r="I24" s="27"/>
    </row>
    <row r="25" spans="1:9" x14ac:dyDescent="0.35">
      <c r="A25" s="21"/>
      <c r="B25" s="21"/>
      <c r="C25" s="22"/>
      <c r="D25" s="23"/>
      <c r="E25" s="21"/>
      <c r="F25" s="21"/>
      <c r="G25" s="22"/>
      <c r="H25" s="21"/>
      <c r="I25" s="23"/>
    </row>
    <row r="26" spans="1:9" x14ac:dyDescent="0.35">
      <c r="A26" s="25"/>
      <c r="B26" s="25"/>
      <c r="C26" s="26"/>
      <c r="D26" s="27"/>
      <c r="E26" s="25"/>
      <c r="F26" s="25"/>
      <c r="G26" s="26"/>
      <c r="H26" s="25"/>
      <c r="I26" s="27"/>
    </row>
    <row r="27" spans="1:9" x14ac:dyDescent="0.35">
      <c r="A27" s="21"/>
      <c r="B27" s="21"/>
      <c r="C27" s="22"/>
      <c r="D27" s="23"/>
      <c r="E27" s="21"/>
      <c r="F27" s="21"/>
      <c r="G27" s="22"/>
      <c r="H27" s="21"/>
      <c r="I27" s="23"/>
    </row>
    <row r="28" spans="1:9" x14ac:dyDescent="0.35">
      <c r="A28" s="25"/>
      <c r="B28" s="25"/>
      <c r="C28" s="26"/>
      <c r="D28" s="27"/>
      <c r="E28" s="25"/>
      <c r="F28" s="25"/>
      <c r="G28" s="26"/>
      <c r="H28" s="25"/>
      <c r="I28" s="27"/>
    </row>
    <row r="29" spans="1:9" x14ac:dyDescent="0.35">
      <c r="A29" s="21"/>
      <c r="B29" s="21"/>
      <c r="C29" s="22"/>
      <c r="D29" s="23"/>
      <c r="E29" s="21"/>
      <c r="F29" s="21"/>
      <c r="G29" s="22"/>
      <c r="H29" s="21"/>
      <c r="I29" s="23"/>
    </row>
    <row r="30" spans="1:9" x14ac:dyDescent="0.35">
      <c r="A30" s="25"/>
      <c r="B30" s="25"/>
      <c r="C30" s="26"/>
      <c r="D30" s="27"/>
      <c r="E30" s="25"/>
      <c r="F30" s="25"/>
      <c r="G30" s="26"/>
      <c r="H30" s="25"/>
      <c r="I30" s="27"/>
    </row>
    <row r="31" spans="1:9" x14ac:dyDescent="0.35">
      <c r="A31" s="21"/>
      <c r="B31" s="21"/>
      <c r="C31" s="22"/>
      <c r="D31" s="23"/>
      <c r="E31" s="21"/>
      <c r="F31" s="21"/>
      <c r="G31" s="22"/>
      <c r="H31" s="21"/>
      <c r="I31" s="23"/>
    </row>
    <row r="32" spans="1:9" x14ac:dyDescent="0.35">
      <c r="A32" s="25"/>
      <c r="B32" s="25"/>
      <c r="C32" s="26"/>
      <c r="D32" s="27"/>
      <c r="E32" s="25"/>
      <c r="F32" s="25"/>
      <c r="G32" s="26"/>
      <c r="H32" s="25"/>
      <c r="I32" s="27"/>
    </row>
    <row r="33" spans="1:9" x14ac:dyDescent="0.35">
      <c r="A33" s="21"/>
      <c r="B33" s="21"/>
      <c r="C33" s="22"/>
      <c r="D33" s="23"/>
      <c r="E33" s="21"/>
      <c r="F33" s="21"/>
      <c r="G33" s="22"/>
      <c r="H33" s="21"/>
      <c r="I33" s="23"/>
    </row>
  </sheetData>
  <autoFilter ref="A3:I33" xr:uid="{00000000-0009-0000-0000-000005000000}"/>
  <mergeCells count="2">
    <mergeCell ref="A1:I1"/>
    <mergeCell ref="A2:I2"/>
  </mergeCells>
  <conditionalFormatting sqref="F4:F33">
    <cfRule type="expression" dxfId="8" priority="6">
      <formula>F4="Critical"</formula>
    </cfRule>
  </conditionalFormatting>
  <conditionalFormatting sqref="H4:H33">
    <cfRule type="expression" dxfId="7" priority="2">
      <formula>H4="Done"</formula>
    </cfRule>
    <cfRule type="expression" dxfId="6" priority="3">
      <formula>H4="In Progress"</formula>
    </cfRule>
    <cfRule type="expression" dxfId="5" priority="4">
      <formula>H4="Blocked"</formula>
    </cfRule>
    <cfRule type="expression" dxfId="4" priority="5">
      <formula>H4="Not Started"</formula>
    </cfRule>
  </conditionalFormatting>
  <dataValidations count="3">
    <dataValidation type="list" allowBlank="1" sqref="E4:E33" xr:uid="{00000000-0002-0000-0500-000000000000}">
      <formula1>"Founder A,Founder B,Both,External"</formula1>
      <formula2>0</formula2>
    </dataValidation>
    <dataValidation type="list" allowBlank="1" sqref="F4:F33" xr:uid="{00000000-0002-0000-0500-000001000000}">
      <formula1>"Low,Medium,High,Critical"</formula1>
      <formula2>0</formula2>
    </dataValidation>
    <dataValidation type="list" allowBlank="1" sqref="H4:H33" xr:uid="{00000000-0002-0000-0500-000002000000}">
      <formula1>"Not Started,In Progress,Blocked,Done"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Instructions</vt:lpstr>
      <vt:lpstr>Expenditure Registry</vt:lpstr>
      <vt:lpstr>Budget by Category</vt:lpstr>
      <vt:lpstr>Meeting Log</vt:lpstr>
      <vt:lpstr>Action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Roger Planell</cp:lastModifiedBy>
  <cp:revision>1</cp:revision>
  <dcterms:created xsi:type="dcterms:W3CDTF">2026-07-24T09:44:57Z</dcterms:created>
  <dcterms:modified xsi:type="dcterms:W3CDTF">2026-07-24T10:06:05Z</dcterms:modified>
  <dc:language>en-US</dc:language>
</cp:coreProperties>
</file>